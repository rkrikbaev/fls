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u-kz\Downloads\"/>
    </mc:Choice>
  </mc:AlternateContent>
  <xr:revisionPtr revIDLastSave="0" documentId="13_ncr:1_{9152B6DF-3DFB-4CBD-AF72-E460043706D3}" xr6:coauthVersionLast="47" xr6:coauthVersionMax="47" xr10:uidLastSave="{00000000-0000-0000-0000-000000000000}"/>
  <bookViews>
    <workbookView minimized="1" xWindow="11220" yWindow="3910" windowWidth="6740" windowHeight="6290" tabRatio="648" firstSheet="6" activeTab="6" xr2:uid="{00000000-000D-0000-FFFF-FFFF00000000}"/>
  </bookViews>
  <sheets>
    <sheet name="Table with Pumps and Average R" sheetId="12" r:id="rId1"/>
    <sheet name="Pump Status" sheetId="11" r:id="rId2"/>
    <sheet name="Overall 0521-PU-807" sheetId="13" r:id="rId3"/>
    <sheet name="Overall 0521-PU-808" sheetId="14" r:id="rId4"/>
    <sheet name="Overall 0523-PU-810" sheetId="18" r:id="rId5"/>
    <sheet name="Overall 0523-PU-811" sheetId="19" r:id="rId6"/>
    <sheet name="Overall 3315-PU-704" sheetId="8" r:id="rId7"/>
    <sheet name="Overall 3315-PU-710" sheetId="9" r:id="rId8"/>
    <sheet name="Overall 3350-PU-731" sheetId="6" r:id="rId9"/>
    <sheet name="Overall 3420-PU-823" sheetId="16" r:id="rId10"/>
    <sheet name="Overall 3421-PU-735" sheetId="5" r:id="rId11"/>
    <sheet name="Overall 3421-PU-737" sheetId="4" r:id="rId12"/>
    <sheet name="Overall 3430-PU-721" sheetId="3" r:id="rId13"/>
    <sheet name="Лист1" sheetId="37" r:id="rId14"/>
    <sheet name="Overall 3430-PU-723" sheetId="20" r:id="rId15"/>
    <sheet name="Overall 3430-PU-724" sheetId="2" r:id="rId16"/>
    <sheet name="Overall 3430-PU-824" sheetId="21" r:id="rId17"/>
    <sheet name="Overall 3443-PU-744" sheetId="26" r:id="rId18"/>
    <sheet name="Overall 3443-PU-750" sheetId="15" r:id="rId19"/>
    <sheet name="Overall 3445-PU-757" sheetId="10" r:id="rId20"/>
    <sheet name="Overall 3445-PU-761" sheetId="7" r:id="rId21"/>
    <sheet name="Overall 3520-PU-825" sheetId="22" r:id="rId22"/>
    <sheet name="Overall 3520-PU-826" sheetId="23" r:id="rId23"/>
    <sheet name="Overall 3530-PU-828" sheetId="35" r:id="rId24"/>
    <sheet name="Overall 3530-PU-829" sheetId="36" r:id="rId25"/>
    <sheet name="Overall 3520-PU-830" sheetId="24" r:id="rId26"/>
    <sheet name="Overall 3520-PU-892" sheetId="25" r:id="rId27"/>
    <sheet name="Overall 3720-PU-769" sheetId="27" r:id="rId28"/>
    <sheet name="Overall 3720-PU-772" sheetId="28" r:id="rId29"/>
    <sheet name="Overall 3730-PU-773" sheetId="29" r:id="rId30"/>
    <sheet name="Overall 3730-PU-774" sheetId="30" r:id="rId31"/>
    <sheet name="Overall 3730-PU-775" sheetId="31" r:id="rId32"/>
    <sheet name="Overall 3730-PU-776" sheetId="32" r:id="rId33"/>
    <sheet name="Overall 3730-PU-856" sheetId="33" r:id="rId34"/>
    <sheet name="Overall 3730-PU-857" sheetId="34" r:id="rId35"/>
  </sheets>
  <functionGroups builtInGroupCount="19"/>
  <definedNames>
    <definedName name="_xlnm._FilterDatabase" localSheetId="2" hidden="1">'Overall 0521-PU-807'!$A$2:$W$64</definedName>
    <definedName name="_xlnm._FilterDatabase" localSheetId="3" hidden="1">'Overall 0521-PU-808'!$A$2:$W$64</definedName>
    <definedName name="_xlnm._FilterDatabase" localSheetId="4" hidden="1">'Overall 0523-PU-810'!$A$2:$P$64</definedName>
    <definedName name="_xlnm._FilterDatabase" localSheetId="5" hidden="1">'Overall 0523-PU-811'!$A$2:$P$64</definedName>
    <definedName name="_xlnm._FilterDatabase" localSheetId="6" hidden="1">'Overall 3315-PU-704'!$A$2:$P$92</definedName>
    <definedName name="_xlnm._FilterDatabase" localSheetId="7" hidden="1">'Overall 3315-PU-710'!$A$2:$P$92</definedName>
    <definedName name="_xlnm._FilterDatabase" localSheetId="9" hidden="1">'Overall 3420-PU-823'!$A$2:$W$64</definedName>
    <definedName name="_xlnm._FilterDatabase" localSheetId="10" hidden="1">'Overall 3421-PU-735'!$A$2:$U$64</definedName>
    <definedName name="_xlnm._FilterDatabase" localSheetId="11" hidden="1">'Overall 3421-PU-737'!$A$2:$V$64</definedName>
    <definedName name="_xlnm._FilterDatabase" localSheetId="12" hidden="1">'Overall 3430-PU-721'!$A$2:$S$64</definedName>
    <definedName name="_xlnm._FilterDatabase" localSheetId="14" hidden="1">'Overall 3430-PU-723'!$A$2:$V$64</definedName>
    <definedName name="_xlnm._FilterDatabase" localSheetId="15" hidden="1">'Overall 3430-PU-724'!$A$2:$U$64</definedName>
    <definedName name="_xlnm._FilterDatabase" localSheetId="16" hidden="1">'Overall 3430-PU-824'!$A$2:$V$64</definedName>
    <definedName name="_xlnm._FilterDatabase" localSheetId="17" hidden="1">'Overall 3443-PU-744'!$A$2:$W$64</definedName>
    <definedName name="_xlnm._FilterDatabase" localSheetId="18" hidden="1">'Overall 3443-PU-750'!$A$2:$W$64</definedName>
    <definedName name="_xlnm._FilterDatabase" localSheetId="19" hidden="1">'Overall 3445-PU-757'!$A$2:$L$85</definedName>
    <definedName name="_xlnm._FilterDatabase" localSheetId="20" hidden="1">'Overall 3445-PU-761'!$A$2:$L$127</definedName>
    <definedName name="_xlnm._FilterDatabase" localSheetId="21" hidden="1">'Overall 3520-PU-825'!$A$2:$V$64</definedName>
    <definedName name="_xlnm._FilterDatabase" localSheetId="22" hidden="1">'Overall 3520-PU-826'!$A$2:$AC$64</definedName>
    <definedName name="_xlnm._FilterDatabase" localSheetId="25" hidden="1">'Overall 3520-PU-830'!$A$2:$V$64</definedName>
    <definedName name="_xlnm._FilterDatabase" localSheetId="26" hidden="1">'Overall 3520-PU-892'!$A$2:$V$64</definedName>
    <definedName name="_xlnm._FilterDatabase" localSheetId="23" hidden="1">'Overall 3530-PU-828'!$A$2:$W$64</definedName>
    <definedName name="_xlnm._FilterDatabase" localSheetId="24" hidden="1">'Overall 3530-PU-829'!$A$2:$W$64</definedName>
    <definedName name="_xlnm._FilterDatabase" localSheetId="27" hidden="1">'Overall 3720-PU-769'!$A$2:$U$64</definedName>
    <definedName name="_xlnm._FilterDatabase" localSheetId="28" hidden="1">'Overall 3720-PU-772'!$A$2:$U$64</definedName>
    <definedName name="_xlnm._FilterDatabase" localSheetId="30" hidden="1">'Overall 3730-PU-774'!$A$2:$X$64</definedName>
    <definedName name="_xlnm._FilterDatabase" localSheetId="31" hidden="1">'Overall 3730-PU-775'!$A$2:$W$64</definedName>
    <definedName name="_xlnm._FilterDatabase" localSheetId="32" hidden="1">'Overall 3730-PU-776'!$A$2:$W$64</definedName>
    <definedName name="_xlnm._FilterDatabase" localSheetId="33" hidden="1">'Overall 3730-PU-856'!$A$2:$X$64</definedName>
    <definedName name="_xlnm._FilterDatabase" localSheetId="34" hidden="1">'Overall 3730-PU-857'!$A$2:$W$64</definedName>
    <definedName name="_xlnm.Print_Area" localSheetId="1">'Pump Status'!$A$1:$H$50</definedName>
    <definedName name="Runtime">'Overall 3350-PU-731'!$E$35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71" i="16" l="1"/>
  <c r="M71" i="16"/>
  <c r="I71" i="16"/>
  <c r="G71" i="16"/>
  <c r="E71" i="16"/>
  <c r="V70" i="16"/>
  <c r="V71" i="16" s="1"/>
  <c r="U70" i="16"/>
  <c r="U71" i="16" s="1"/>
  <c r="T70" i="16"/>
  <c r="T71" i="16" s="1"/>
  <c r="S70" i="16"/>
  <c r="S71" i="16" s="1"/>
  <c r="R70" i="16"/>
  <c r="R71" i="16" s="1"/>
  <c r="Q70" i="16"/>
  <c r="P70" i="16"/>
  <c r="P71" i="16" s="1"/>
  <c r="O70" i="16"/>
  <c r="O71" i="16" s="1"/>
  <c r="N70" i="16"/>
  <c r="N71" i="16" s="1"/>
  <c r="M70" i="16"/>
  <c r="L70" i="16"/>
  <c r="L71" i="16" s="1"/>
  <c r="K70" i="16"/>
  <c r="K71" i="16" s="1"/>
  <c r="J70" i="16"/>
  <c r="J71" i="16" s="1"/>
  <c r="I70" i="16"/>
  <c r="H70" i="16"/>
  <c r="H71" i="16" s="1"/>
  <c r="G70" i="16"/>
  <c r="F70" i="16"/>
  <c r="F71" i="16" s="1"/>
  <c r="E70" i="16"/>
  <c r="D70" i="16"/>
  <c r="D71" i="16" s="1"/>
  <c r="C70" i="16"/>
  <c r="C71" i="16" s="1"/>
  <c r="Q71" i="26"/>
  <c r="N71" i="26"/>
  <c r="G71" i="26"/>
  <c r="F71" i="26"/>
  <c r="W71" i="26"/>
  <c r="V70" i="26"/>
  <c r="V71" i="26" s="1"/>
  <c r="U70" i="26"/>
  <c r="T70" i="26"/>
  <c r="T71" i="26" s="1"/>
  <c r="S70" i="26"/>
  <c r="S71" i="26" s="1"/>
  <c r="R70" i="26"/>
  <c r="R71" i="26" s="1"/>
  <c r="Q70" i="26"/>
  <c r="P70" i="26"/>
  <c r="O70" i="26"/>
  <c r="O71" i="26" s="1"/>
  <c r="N70" i="26"/>
  <c r="M70" i="26"/>
  <c r="M71" i="26" s="1"/>
  <c r="L70" i="26"/>
  <c r="L71" i="26" s="1"/>
  <c r="K70" i="26"/>
  <c r="J70" i="26"/>
  <c r="I70" i="26"/>
  <c r="H70" i="26"/>
  <c r="H71" i="26" s="1"/>
  <c r="G70" i="26"/>
  <c r="F70" i="26"/>
  <c r="E70" i="26"/>
  <c r="E71" i="26" s="1"/>
  <c r="D70" i="26"/>
  <c r="D71" i="26" s="1"/>
  <c r="C70" i="26"/>
  <c r="E134" i="10"/>
  <c r="D134" i="10"/>
  <c r="L133" i="10"/>
  <c r="L134" i="10" s="1"/>
  <c r="K133" i="10"/>
  <c r="J133" i="10"/>
  <c r="J134" i="10" s="1"/>
  <c r="I133" i="10"/>
  <c r="I134" i="10" s="1"/>
  <c r="H133" i="10"/>
  <c r="H134" i="10" s="1"/>
  <c r="G133" i="10"/>
  <c r="F133" i="10"/>
  <c r="F134" i="10" s="1"/>
  <c r="E133" i="10"/>
  <c r="D133" i="10"/>
  <c r="C133" i="10"/>
  <c r="P85" i="15"/>
  <c r="H85" i="15"/>
  <c r="G85" i="15"/>
  <c r="F85" i="15"/>
  <c r="W84" i="15"/>
  <c r="W85" i="15" s="1"/>
  <c r="V84" i="15"/>
  <c r="V85" i="15" s="1"/>
  <c r="U84" i="15"/>
  <c r="U85" i="15" s="1"/>
  <c r="T84" i="15"/>
  <c r="T85" i="15" s="1"/>
  <c r="S84" i="15"/>
  <c r="S85" i="15" s="1"/>
  <c r="R84" i="15"/>
  <c r="R85" i="15" s="1"/>
  <c r="Q84" i="15"/>
  <c r="Q85" i="15" s="1"/>
  <c r="P84" i="15"/>
  <c r="O84" i="15"/>
  <c r="O85" i="15" s="1"/>
  <c r="N84" i="15"/>
  <c r="M84" i="15"/>
  <c r="M85" i="15" s="1"/>
  <c r="L84" i="15"/>
  <c r="L85" i="15" s="1"/>
  <c r="K84" i="15"/>
  <c r="K85" i="15" s="1"/>
  <c r="J84" i="15"/>
  <c r="J85" i="15" s="1"/>
  <c r="I84" i="15"/>
  <c r="I85" i="15" s="1"/>
  <c r="H84" i="15"/>
  <c r="G84" i="15"/>
  <c r="F84" i="15"/>
  <c r="E84" i="15"/>
  <c r="E85" i="15" s="1"/>
  <c r="D84" i="15"/>
  <c r="D85" i="15" s="1"/>
  <c r="C84" i="15"/>
  <c r="C85" i="15" s="1"/>
  <c r="W77" i="15"/>
  <c r="V77" i="15"/>
  <c r="U77" i="15"/>
  <c r="T77" i="15"/>
  <c r="S77" i="15"/>
  <c r="R77" i="15"/>
  <c r="Q77" i="15"/>
  <c r="P77" i="15"/>
  <c r="O77" i="15"/>
  <c r="N77" i="15"/>
  <c r="M77" i="15"/>
  <c r="L77" i="15"/>
  <c r="K77" i="15"/>
  <c r="J77" i="15"/>
  <c r="I77" i="15"/>
  <c r="H77" i="15"/>
  <c r="G77" i="15"/>
  <c r="F77" i="15"/>
  <c r="E77" i="15"/>
  <c r="D77" i="15"/>
  <c r="C77" i="15"/>
  <c r="L126" i="10" l="1"/>
  <c r="K126" i="10"/>
  <c r="J126" i="10"/>
  <c r="I126" i="10"/>
  <c r="H126" i="10"/>
  <c r="G126" i="10"/>
  <c r="F126" i="10"/>
  <c r="E126" i="10"/>
  <c r="D126" i="10"/>
  <c r="C126" i="10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W70" i="15" l="1"/>
  <c r="V70" i="15"/>
  <c r="U70" i="15"/>
  <c r="T70" i="15"/>
  <c r="S70" i="15"/>
  <c r="R70" i="15"/>
  <c r="Q70" i="15"/>
  <c r="P70" i="15"/>
  <c r="O70" i="15"/>
  <c r="N70" i="15"/>
  <c r="M70" i="15"/>
  <c r="L70" i="15"/>
  <c r="K70" i="15"/>
  <c r="J70" i="15"/>
  <c r="I70" i="15"/>
  <c r="H70" i="15"/>
  <c r="G70" i="15"/>
  <c r="F70" i="15"/>
  <c r="E70" i="15"/>
  <c r="D70" i="15"/>
  <c r="C70" i="15"/>
  <c r="J14" i="29"/>
  <c r="C28" i="10" l="1"/>
  <c r="C21" i="10"/>
  <c r="L119" i="10" l="1"/>
  <c r="K119" i="10"/>
  <c r="J119" i="10"/>
  <c r="I119" i="10"/>
  <c r="H119" i="10"/>
  <c r="G119" i="10"/>
  <c r="F119" i="10"/>
  <c r="E119" i="10"/>
  <c r="D119" i="10"/>
  <c r="C119" i="10"/>
  <c r="L112" i="10"/>
  <c r="K112" i="10"/>
  <c r="J112" i="10"/>
  <c r="I112" i="10"/>
  <c r="H112" i="10"/>
  <c r="G112" i="10"/>
  <c r="F112" i="10"/>
  <c r="E112" i="10"/>
  <c r="D112" i="10"/>
  <c r="C112" i="10"/>
  <c r="L105" i="10"/>
  <c r="K105" i="10"/>
  <c r="J105" i="10"/>
  <c r="I105" i="10"/>
  <c r="H105" i="10"/>
  <c r="G105" i="10"/>
  <c r="F105" i="10"/>
  <c r="E105" i="10"/>
  <c r="D105" i="10"/>
  <c r="C105" i="10"/>
  <c r="L98" i="10"/>
  <c r="K98" i="10"/>
  <c r="J98" i="10"/>
  <c r="I98" i="10"/>
  <c r="H98" i="10"/>
  <c r="G98" i="10"/>
  <c r="F98" i="10"/>
  <c r="E98" i="10"/>
  <c r="D98" i="10"/>
  <c r="C98" i="10"/>
  <c r="L91" i="10"/>
  <c r="K91" i="10"/>
  <c r="J91" i="10"/>
  <c r="I91" i="10"/>
  <c r="H91" i="10"/>
  <c r="G91" i="10"/>
  <c r="F91" i="10"/>
  <c r="E91" i="10"/>
  <c r="D91" i="10"/>
  <c r="C91" i="10"/>
  <c r="O28" i="15" l="1"/>
  <c r="J21" i="5"/>
  <c r="K21" i="5"/>
  <c r="D38" i="9"/>
  <c r="E38" i="9"/>
  <c r="F38" i="9"/>
  <c r="H38" i="9"/>
  <c r="I38" i="9"/>
  <c r="P98" i="6" l="1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W63" i="36" l="1"/>
  <c r="V63" i="36"/>
  <c r="U63" i="36"/>
  <c r="T63" i="36"/>
  <c r="S63" i="36"/>
  <c r="R63" i="36"/>
  <c r="Q63" i="36"/>
  <c r="P63" i="36"/>
  <c r="O63" i="36"/>
  <c r="N63" i="36"/>
  <c r="M63" i="36"/>
  <c r="L63" i="36"/>
  <c r="K63" i="36"/>
  <c r="J63" i="36"/>
  <c r="I63" i="36"/>
  <c r="H63" i="36"/>
  <c r="G63" i="36"/>
  <c r="F63" i="36"/>
  <c r="E63" i="36"/>
  <c r="D63" i="36"/>
  <c r="C63" i="36"/>
  <c r="W56" i="36"/>
  <c r="V56" i="36"/>
  <c r="U56" i="36"/>
  <c r="T56" i="36"/>
  <c r="S56" i="36"/>
  <c r="R56" i="36"/>
  <c r="Q56" i="36"/>
  <c r="P56" i="36"/>
  <c r="O56" i="36"/>
  <c r="N56" i="36"/>
  <c r="M56" i="36"/>
  <c r="L56" i="36"/>
  <c r="K56" i="36"/>
  <c r="J56" i="36"/>
  <c r="I56" i="36"/>
  <c r="H56" i="36"/>
  <c r="G56" i="36"/>
  <c r="F56" i="36"/>
  <c r="E56" i="36"/>
  <c r="D56" i="36"/>
  <c r="C56" i="36"/>
  <c r="W49" i="36"/>
  <c r="V49" i="36"/>
  <c r="U49" i="36"/>
  <c r="T49" i="36"/>
  <c r="S49" i="36"/>
  <c r="R49" i="36"/>
  <c r="Q49" i="36"/>
  <c r="P49" i="36"/>
  <c r="O49" i="36"/>
  <c r="N49" i="36"/>
  <c r="M49" i="36"/>
  <c r="L49" i="36"/>
  <c r="K49" i="36"/>
  <c r="J49" i="36"/>
  <c r="I49" i="36"/>
  <c r="H49" i="36"/>
  <c r="G49" i="36"/>
  <c r="F49" i="36"/>
  <c r="E49" i="36"/>
  <c r="D49" i="36"/>
  <c r="C49" i="36"/>
  <c r="W42" i="36"/>
  <c r="V42" i="36"/>
  <c r="U42" i="36"/>
  <c r="T42" i="36"/>
  <c r="S42" i="36"/>
  <c r="R42" i="36"/>
  <c r="Q42" i="36"/>
  <c r="P42" i="36"/>
  <c r="O42" i="36"/>
  <c r="N42" i="36"/>
  <c r="M42" i="36"/>
  <c r="L42" i="36"/>
  <c r="K42" i="36"/>
  <c r="J42" i="36"/>
  <c r="I42" i="36"/>
  <c r="H42" i="36"/>
  <c r="G42" i="36"/>
  <c r="F42" i="36"/>
  <c r="E42" i="36"/>
  <c r="D42" i="36"/>
  <c r="C42" i="36"/>
  <c r="W35" i="36"/>
  <c r="V35" i="36"/>
  <c r="U35" i="36"/>
  <c r="T35" i="36"/>
  <c r="S35" i="36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W28" i="36"/>
  <c r="V28" i="36"/>
  <c r="U28" i="36"/>
  <c r="T28" i="36"/>
  <c r="S28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W21" i="36"/>
  <c r="V21" i="36"/>
  <c r="U21" i="36"/>
  <c r="T21" i="36"/>
  <c r="S21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W14" i="36"/>
  <c r="V14" i="36"/>
  <c r="U14" i="36"/>
  <c r="T14" i="36"/>
  <c r="T22" i="36" s="1"/>
  <c r="S14" i="36"/>
  <c r="S22" i="36" s="1"/>
  <c r="R14" i="36"/>
  <c r="Q14" i="36"/>
  <c r="P14" i="36"/>
  <c r="O14" i="36"/>
  <c r="N14" i="36"/>
  <c r="M14" i="36"/>
  <c r="L14" i="36"/>
  <c r="L22" i="36" s="1"/>
  <c r="K14" i="36"/>
  <c r="K22" i="36" s="1"/>
  <c r="J14" i="36"/>
  <c r="I14" i="36"/>
  <c r="H14" i="36"/>
  <c r="G14" i="36"/>
  <c r="F14" i="36"/>
  <c r="E14" i="36"/>
  <c r="D14" i="36"/>
  <c r="D22" i="36" s="1"/>
  <c r="C14" i="36"/>
  <c r="C22" i="36" s="1"/>
  <c r="W63" i="35"/>
  <c r="V63" i="35"/>
  <c r="U63" i="35"/>
  <c r="T63" i="35"/>
  <c r="S63" i="35"/>
  <c r="R63" i="35"/>
  <c r="Q63" i="35"/>
  <c r="P63" i="35"/>
  <c r="O63" i="35"/>
  <c r="N63" i="35"/>
  <c r="M63" i="35"/>
  <c r="L63" i="35"/>
  <c r="K63" i="35"/>
  <c r="J63" i="35"/>
  <c r="I63" i="35"/>
  <c r="H63" i="35"/>
  <c r="G63" i="35"/>
  <c r="F63" i="35"/>
  <c r="E63" i="35"/>
  <c r="D63" i="35"/>
  <c r="C63" i="35"/>
  <c r="W56" i="35"/>
  <c r="V56" i="35"/>
  <c r="U56" i="35"/>
  <c r="T56" i="35"/>
  <c r="S56" i="35"/>
  <c r="R56" i="35"/>
  <c r="Q56" i="35"/>
  <c r="P56" i="35"/>
  <c r="O56" i="35"/>
  <c r="N56" i="35"/>
  <c r="M56" i="35"/>
  <c r="L56" i="35"/>
  <c r="K56" i="35"/>
  <c r="J56" i="35"/>
  <c r="I56" i="35"/>
  <c r="H56" i="35"/>
  <c r="G56" i="35"/>
  <c r="F56" i="35"/>
  <c r="E56" i="35"/>
  <c r="D56" i="35"/>
  <c r="C56" i="35"/>
  <c r="W49" i="35"/>
  <c r="V49" i="35"/>
  <c r="U49" i="35"/>
  <c r="T49" i="35"/>
  <c r="S49" i="35"/>
  <c r="R49" i="35"/>
  <c r="Q49" i="35"/>
  <c r="P49" i="35"/>
  <c r="O49" i="35"/>
  <c r="N49" i="35"/>
  <c r="M49" i="35"/>
  <c r="L49" i="35"/>
  <c r="K49" i="35"/>
  <c r="J49" i="35"/>
  <c r="I49" i="35"/>
  <c r="H49" i="35"/>
  <c r="G49" i="35"/>
  <c r="F49" i="35"/>
  <c r="E49" i="35"/>
  <c r="D49" i="35"/>
  <c r="C49" i="35"/>
  <c r="W42" i="35"/>
  <c r="V42" i="35"/>
  <c r="U42" i="35"/>
  <c r="T42" i="35"/>
  <c r="S42" i="35"/>
  <c r="R42" i="35"/>
  <c r="Q42" i="35"/>
  <c r="P42" i="35"/>
  <c r="O42" i="35"/>
  <c r="N42" i="35"/>
  <c r="M42" i="35"/>
  <c r="L42" i="35"/>
  <c r="K42" i="35"/>
  <c r="J42" i="35"/>
  <c r="I42" i="35"/>
  <c r="H42" i="35"/>
  <c r="G42" i="35"/>
  <c r="F42" i="35"/>
  <c r="E42" i="35"/>
  <c r="D42" i="35"/>
  <c r="C42" i="35"/>
  <c r="W35" i="35"/>
  <c r="V35" i="35"/>
  <c r="U35" i="35"/>
  <c r="T35" i="35"/>
  <c r="S35" i="35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W28" i="35"/>
  <c r="V28" i="35"/>
  <c r="U28" i="35"/>
  <c r="T28" i="35"/>
  <c r="S28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W21" i="35"/>
  <c r="V21" i="35"/>
  <c r="U21" i="35"/>
  <c r="T21" i="35"/>
  <c r="S21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W14" i="35"/>
  <c r="V14" i="35"/>
  <c r="U14" i="35"/>
  <c r="T14" i="35"/>
  <c r="T22" i="35" s="1"/>
  <c r="S14" i="35"/>
  <c r="R14" i="35"/>
  <c r="R22" i="35" s="1"/>
  <c r="Q14" i="35"/>
  <c r="P14" i="35"/>
  <c r="O14" i="35"/>
  <c r="N14" i="35"/>
  <c r="M14" i="35"/>
  <c r="L14" i="35"/>
  <c r="L22" i="35" s="1"/>
  <c r="K14" i="35"/>
  <c r="J14" i="35"/>
  <c r="J22" i="35" s="1"/>
  <c r="I14" i="35"/>
  <c r="H14" i="35"/>
  <c r="G14" i="35"/>
  <c r="F14" i="35"/>
  <c r="E14" i="35"/>
  <c r="D14" i="35"/>
  <c r="D22" i="35" s="1"/>
  <c r="C14" i="35"/>
  <c r="E22" i="35" l="1"/>
  <c r="M22" i="35"/>
  <c r="U22" i="35"/>
  <c r="E22" i="36"/>
  <c r="M22" i="36"/>
  <c r="U22" i="36"/>
  <c r="N22" i="35"/>
  <c r="F57" i="36"/>
  <c r="G22" i="36"/>
  <c r="O22" i="36"/>
  <c r="W22" i="36"/>
  <c r="V22" i="35"/>
  <c r="V57" i="36"/>
  <c r="H22" i="35"/>
  <c r="P22" i="35"/>
  <c r="H22" i="36"/>
  <c r="P22" i="36"/>
  <c r="Q22" i="35"/>
  <c r="I22" i="36"/>
  <c r="Q22" i="36"/>
  <c r="F22" i="35"/>
  <c r="N57" i="36"/>
  <c r="I22" i="35"/>
  <c r="J29" i="36"/>
  <c r="R29" i="36"/>
  <c r="C29" i="35"/>
  <c r="F29" i="35"/>
  <c r="G29" i="35"/>
  <c r="J29" i="35"/>
  <c r="K29" i="35"/>
  <c r="N29" i="35"/>
  <c r="O29" i="35"/>
  <c r="R29" i="35"/>
  <c r="S29" i="35"/>
  <c r="W29" i="35"/>
  <c r="F36" i="35"/>
  <c r="N36" i="35"/>
  <c r="R36" i="35"/>
  <c r="V36" i="35"/>
  <c r="F43" i="35"/>
  <c r="J43" i="35"/>
  <c r="N43" i="35"/>
  <c r="R43" i="35"/>
  <c r="V43" i="35"/>
  <c r="N50" i="35"/>
  <c r="R50" i="35"/>
  <c r="F57" i="35"/>
  <c r="J57" i="35"/>
  <c r="N57" i="35"/>
  <c r="R57" i="35"/>
  <c r="V57" i="35"/>
  <c r="E64" i="35"/>
  <c r="I64" i="35"/>
  <c r="M64" i="35"/>
  <c r="Q64" i="35"/>
  <c r="U64" i="35"/>
  <c r="D29" i="36"/>
  <c r="E29" i="36"/>
  <c r="H29" i="36"/>
  <c r="I29" i="36"/>
  <c r="L29" i="36"/>
  <c r="M29" i="36"/>
  <c r="P29" i="36"/>
  <c r="Q29" i="36"/>
  <c r="T29" i="36"/>
  <c r="U29" i="36"/>
  <c r="C36" i="36"/>
  <c r="D36" i="36"/>
  <c r="F36" i="36"/>
  <c r="G36" i="36"/>
  <c r="H36" i="36"/>
  <c r="J36" i="36"/>
  <c r="K36" i="36"/>
  <c r="L36" i="36"/>
  <c r="N36" i="36"/>
  <c r="O36" i="36"/>
  <c r="P36" i="36"/>
  <c r="R36" i="36"/>
  <c r="S36" i="36"/>
  <c r="T36" i="36"/>
  <c r="V36" i="36"/>
  <c r="W36" i="36"/>
  <c r="D43" i="36"/>
  <c r="E43" i="36"/>
  <c r="H43" i="36"/>
  <c r="I43" i="36"/>
  <c r="L43" i="36"/>
  <c r="M43" i="36"/>
  <c r="P43" i="36"/>
  <c r="Q43" i="36"/>
  <c r="T43" i="36"/>
  <c r="U43" i="36"/>
  <c r="C50" i="36"/>
  <c r="D50" i="36"/>
  <c r="F50" i="36"/>
  <c r="G50" i="36"/>
  <c r="H50" i="36"/>
  <c r="J50" i="36"/>
  <c r="K50" i="36"/>
  <c r="L50" i="36"/>
  <c r="N50" i="36"/>
  <c r="O50" i="36"/>
  <c r="P50" i="36"/>
  <c r="R50" i="36"/>
  <c r="S50" i="36"/>
  <c r="T50" i="36"/>
  <c r="V50" i="36"/>
  <c r="W50" i="36"/>
  <c r="D57" i="36"/>
  <c r="E57" i="36"/>
  <c r="H57" i="36"/>
  <c r="I57" i="36"/>
  <c r="L57" i="36"/>
  <c r="M57" i="36"/>
  <c r="P57" i="36"/>
  <c r="Q57" i="36"/>
  <c r="T57" i="36"/>
  <c r="U57" i="36"/>
  <c r="C64" i="36"/>
  <c r="D64" i="36"/>
  <c r="F64" i="36"/>
  <c r="G64" i="36"/>
  <c r="H64" i="36"/>
  <c r="J64" i="36"/>
  <c r="K64" i="36"/>
  <c r="L64" i="36"/>
  <c r="N64" i="36"/>
  <c r="O64" i="36"/>
  <c r="P64" i="36"/>
  <c r="R64" i="36"/>
  <c r="S64" i="36"/>
  <c r="T64" i="36"/>
  <c r="V64" i="36"/>
  <c r="W64" i="36"/>
  <c r="E64" i="36"/>
  <c r="I64" i="36"/>
  <c r="M64" i="36"/>
  <c r="Q64" i="36"/>
  <c r="U64" i="36"/>
  <c r="F29" i="36"/>
  <c r="N29" i="36"/>
  <c r="V29" i="36"/>
  <c r="J43" i="36"/>
  <c r="R43" i="36"/>
  <c r="J57" i="36"/>
  <c r="R57" i="36"/>
  <c r="C29" i="36"/>
  <c r="G29" i="36"/>
  <c r="K29" i="36"/>
  <c r="O29" i="36"/>
  <c r="S29" i="36"/>
  <c r="W29" i="36"/>
  <c r="E36" i="36"/>
  <c r="I36" i="36"/>
  <c r="M36" i="36"/>
  <c r="Q36" i="36"/>
  <c r="U36" i="36"/>
  <c r="C43" i="36"/>
  <c r="G43" i="36"/>
  <c r="K43" i="36"/>
  <c r="O43" i="36"/>
  <c r="S43" i="36"/>
  <c r="W43" i="36"/>
  <c r="E50" i="36"/>
  <c r="I50" i="36"/>
  <c r="M50" i="36"/>
  <c r="Q50" i="36"/>
  <c r="U50" i="36"/>
  <c r="C57" i="36"/>
  <c r="G57" i="36"/>
  <c r="K57" i="36"/>
  <c r="O57" i="36"/>
  <c r="S57" i="36"/>
  <c r="W57" i="36"/>
  <c r="F22" i="36"/>
  <c r="J22" i="36"/>
  <c r="N22" i="36"/>
  <c r="R22" i="36"/>
  <c r="V22" i="36"/>
  <c r="F43" i="36"/>
  <c r="N43" i="36"/>
  <c r="V43" i="36"/>
  <c r="H36" i="35"/>
  <c r="P36" i="35"/>
  <c r="D29" i="35"/>
  <c r="D50" i="35"/>
  <c r="P50" i="35"/>
  <c r="T50" i="35"/>
  <c r="T43" i="35"/>
  <c r="I36" i="35"/>
  <c r="I29" i="35"/>
  <c r="Q36" i="35"/>
  <c r="Q29" i="35"/>
  <c r="H29" i="35"/>
  <c r="G43" i="35"/>
  <c r="G36" i="35"/>
  <c r="O43" i="35"/>
  <c r="O36" i="35"/>
  <c r="I50" i="35"/>
  <c r="I43" i="35"/>
  <c r="U50" i="35"/>
  <c r="U43" i="35"/>
  <c r="K57" i="35"/>
  <c r="K50" i="35"/>
  <c r="L29" i="35"/>
  <c r="L43" i="35"/>
  <c r="F50" i="35"/>
  <c r="D36" i="35"/>
  <c r="L36" i="35"/>
  <c r="T36" i="35"/>
  <c r="T29" i="35"/>
  <c r="H50" i="35"/>
  <c r="L50" i="35"/>
  <c r="D43" i="35"/>
  <c r="E36" i="35"/>
  <c r="E29" i="35"/>
  <c r="M36" i="35"/>
  <c r="M29" i="35"/>
  <c r="U36" i="35"/>
  <c r="U29" i="35"/>
  <c r="C43" i="35"/>
  <c r="C36" i="35"/>
  <c r="K43" i="35"/>
  <c r="K36" i="35"/>
  <c r="S43" i="35"/>
  <c r="S36" i="35"/>
  <c r="W43" i="35"/>
  <c r="W36" i="35"/>
  <c r="E50" i="35"/>
  <c r="E43" i="35"/>
  <c r="M50" i="35"/>
  <c r="M43" i="35"/>
  <c r="Q50" i="35"/>
  <c r="Q43" i="35"/>
  <c r="H43" i="35"/>
  <c r="C57" i="35"/>
  <c r="C50" i="35"/>
  <c r="G57" i="35"/>
  <c r="G50" i="35"/>
  <c r="O57" i="35"/>
  <c r="O50" i="35"/>
  <c r="S57" i="35"/>
  <c r="S50" i="35"/>
  <c r="W57" i="35"/>
  <c r="W50" i="35"/>
  <c r="C22" i="35"/>
  <c r="G22" i="35"/>
  <c r="K22" i="35"/>
  <c r="O22" i="35"/>
  <c r="S22" i="35"/>
  <c r="W22" i="35"/>
  <c r="V29" i="35"/>
  <c r="V50" i="35"/>
  <c r="P29" i="35"/>
  <c r="J36" i="35"/>
  <c r="P43" i="35"/>
  <c r="J50" i="35"/>
  <c r="D64" i="35"/>
  <c r="H64" i="35"/>
  <c r="L64" i="35"/>
  <c r="P64" i="35"/>
  <c r="T64" i="35"/>
  <c r="C64" i="35"/>
  <c r="G64" i="35"/>
  <c r="K64" i="35"/>
  <c r="O64" i="35"/>
  <c r="S64" i="35"/>
  <c r="W64" i="35"/>
  <c r="D57" i="35"/>
  <c r="H57" i="35"/>
  <c r="L57" i="35"/>
  <c r="P57" i="35"/>
  <c r="T57" i="35"/>
  <c r="F64" i="35"/>
  <c r="J64" i="35"/>
  <c r="N64" i="35"/>
  <c r="R64" i="35"/>
  <c r="V64" i="35"/>
  <c r="E57" i="35"/>
  <c r="I57" i="35"/>
  <c r="M57" i="35"/>
  <c r="Q57" i="35"/>
  <c r="U57" i="35"/>
  <c r="W63" i="34" l="1"/>
  <c r="V63" i="34"/>
  <c r="U63" i="34"/>
  <c r="T63" i="34"/>
  <c r="S63" i="34"/>
  <c r="R63" i="34"/>
  <c r="Q63" i="34"/>
  <c r="P63" i="34"/>
  <c r="O63" i="34"/>
  <c r="N63" i="34"/>
  <c r="M63" i="34"/>
  <c r="L63" i="34"/>
  <c r="K63" i="34"/>
  <c r="J63" i="34"/>
  <c r="I63" i="34"/>
  <c r="H63" i="34"/>
  <c r="G63" i="34"/>
  <c r="F63" i="34"/>
  <c r="E63" i="34"/>
  <c r="D63" i="34"/>
  <c r="C63" i="34"/>
  <c r="W56" i="34"/>
  <c r="V56" i="34"/>
  <c r="U56" i="34"/>
  <c r="T56" i="34"/>
  <c r="S56" i="34"/>
  <c r="R56" i="34"/>
  <c r="Q56" i="34"/>
  <c r="P56" i="34"/>
  <c r="O56" i="34"/>
  <c r="N56" i="34"/>
  <c r="M56" i="34"/>
  <c r="L56" i="34"/>
  <c r="K56" i="34"/>
  <c r="J56" i="34"/>
  <c r="I56" i="34"/>
  <c r="H56" i="34"/>
  <c r="G56" i="34"/>
  <c r="F56" i="34"/>
  <c r="E56" i="34"/>
  <c r="D56" i="34"/>
  <c r="C56" i="34"/>
  <c r="W49" i="34"/>
  <c r="V49" i="34"/>
  <c r="U49" i="34"/>
  <c r="T49" i="34"/>
  <c r="S49" i="34"/>
  <c r="R49" i="34"/>
  <c r="Q49" i="34"/>
  <c r="P49" i="34"/>
  <c r="O49" i="34"/>
  <c r="N49" i="34"/>
  <c r="M49" i="34"/>
  <c r="L49" i="34"/>
  <c r="K49" i="34"/>
  <c r="J49" i="34"/>
  <c r="I49" i="34"/>
  <c r="H49" i="34"/>
  <c r="G49" i="34"/>
  <c r="F49" i="34"/>
  <c r="E49" i="34"/>
  <c r="D49" i="34"/>
  <c r="C49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W35" i="34"/>
  <c r="V35" i="34"/>
  <c r="U35" i="34"/>
  <c r="T35" i="34"/>
  <c r="S35" i="34"/>
  <c r="R35" i="34"/>
  <c r="Q35" i="34"/>
  <c r="P35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W28" i="34"/>
  <c r="V28" i="34"/>
  <c r="U28" i="34"/>
  <c r="T28" i="34"/>
  <c r="S28" i="34"/>
  <c r="R28" i="34"/>
  <c r="Q28" i="34"/>
  <c r="P28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W21" i="34"/>
  <c r="V21" i="34"/>
  <c r="U21" i="34"/>
  <c r="T21" i="34"/>
  <c r="S21" i="34"/>
  <c r="R21" i="34"/>
  <c r="Q21" i="34"/>
  <c r="P21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W14" i="34"/>
  <c r="V14" i="34"/>
  <c r="U14" i="34"/>
  <c r="T14" i="34"/>
  <c r="S14" i="34"/>
  <c r="R14" i="34"/>
  <c r="Q14" i="34"/>
  <c r="P14" i="34"/>
  <c r="O14" i="34"/>
  <c r="N14" i="34"/>
  <c r="M14" i="34"/>
  <c r="L14" i="34"/>
  <c r="K14" i="34"/>
  <c r="J14" i="34"/>
  <c r="I14" i="34"/>
  <c r="H14" i="34"/>
  <c r="G14" i="34"/>
  <c r="F14" i="34"/>
  <c r="E14" i="34"/>
  <c r="D14" i="34"/>
  <c r="C14" i="34"/>
  <c r="X63" i="33"/>
  <c r="X56" i="33"/>
  <c r="X49" i="33"/>
  <c r="X42" i="33"/>
  <c r="X35" i="33"/>
  <c r="X28" i="33"/>
  <c r="X21" i="33"/>
  <c r="X14" i="33"/>
  <c r="W63" i="33"/>
  <c r="V63" i="33"/>
  <c r="U63" i="33"/>
  <c r="T63" i="33"/>
  <c r="S63" i="33"/>
  <c r="R63" i="33"/>
  <c r="Q63" i="33"/>
  <c r="P63" i="33"/>
  <c r="O63" i="33"/>
  <c r="N63" i="33"/>
  <c r="M63" i="33"/>
  <c r="L63" i="33"/>
  <c r="K63" i="33"/>
  <c r="J63" i="33"/>
  <c r="I63" i="33"/>
  <c r="H63" i="33"/>
  <c r="G63" i="33"/>
  <c r="F63" i="33"/>
  <c r="E63" i="33"/>
  <c r="D63" i="33"/>
  <c r="C63" i="33"/>
  <c r="W56" i="33"/>
  <c r="V56" i="33"/>
  <c r="U56" i="33"/>
  <c r="T56" i="33"/>
  <c r="S56" i="33"/>
  <c r="R56" i="33"/>
  <c r="Q56" i="33"/>
  <c r="P56" i="33"/>
  <c r="O56" i="33"/>
  <c r="N56" i="33"/>
  <c r="M56" i="33"/>
  <c r="L56" i="33"/>
  <c r="K56" i="33"/>
  <c r="J56" i="33"/>
  <c r="I56" i="33"/>
  <c r="H56" i="33"/>
  <c r="G56" i="33"/>
  <c r="F56" i="33"/>
  <c r="E56" i="33"/>
  <c r="D56" i="33"/>
  <c r="C56" i="33"/>
  <c r="W49" i="33"/>
  <c r="V49" i="33"/>
  <c r="U49" i="33"/>
  <c r="T49" i="33"/>
  <c r="S49" i="33"/>
  <c r="R49" i="33"/>
  <c r="Q49" i="33"/>
  <c r="P49" i="33"/>
  <c r="O49" i="33"/>
  <c r="N49" i="33"/>
  <c r="M49" i="33"/>
  <c r="L49" i="33"/>
  <c r="K49" i="33"/>
  <c r="J49" i="33"/>
  <c r="I49" i="33"/>
  <c r="H49" i="33"/>
  <c r="G49" i="33"/>
  <c r="F49" i="33"/>
  <c r="E49" i="33"/>
  <c r="D49" i="33"/>
  <c r="C49" i="33"/>
  <c r="W42" i="33"/>
  <c r="V42" i="33"/>
  <c r="U42" i="33"/>
  <c r="T42" i="33"/>
  <c r="S42" i="33"/>
  <c r="R42" i="33"/>
  <c r="Q42" i="33"/>
  <c r="P42" i="33"/>
  <c r="O42" i="33"/>
  <c r="N42" i="33"/>
  <c r="M42" i="33"/>
  <c r="L42" i="33"/>
  <c r="K42" i="33"/>
  <c r="J42" i="33"/>
  <c r="I42" i="33"/>
  <c r="H42" i="33"/>
  <c r="G42" i="33"/>
  <c r="F42" i="33"/>
  <c r="E42" i="33"/>
  <c r="D42" i="33"/>
  <c r="C42" i="33"/>
  <c r="W35" i="33"/>
  <c r="V35" i="33"/>
  <c r="U35" i="33"/>
  <c r="T35" i="33"/>
  <c r="S35" i="33"/>
  <c r="R35" i="33"/>
  <c r="Q35" i="33"/>
  <c r="P35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W28" i="33"/>
  <c r="V28" i="33"/>
  <c r="U28" i="33"/>
  <c r="T28" i="33"/>
  <c r="S28" i="33"/>
  <c r="R28" i="33"/>
  <c r="Q28" i="33"/>
  <c r="P28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W14" i="33"/>
  <c r="V14" i="33"/>
  <c r="U14" i="33"/>
  <c r="T14" i="33"/>
  <c r="S14" i="33"/>
  <c r="R14" i="33"/>
  <c r="Q14" i="33"/>
  <c r="P14" i="33"/>
  <c r="O14" i="33"/>
  <c r="N14" i="33"/>
  <c r="M14" i="33"/>
  <c r="L14" i="33"/>
  <c r="K14" i="33"/>
  <c r="J14" i="33"/>
  <c r="I14" i="33"/>
  <c r="H14" i="33"/>
  <c r="G14" i="33"/>
  <c r="F14" i="33"/>
  <c r="E14" i="33"/>
  <c r="D14" i="33"/>
  <c r="C14" i="33"/>
  <c r="W63" i="32"/>
  <c r="V63" i="32"/>
  <c r="U63" i="32"/>
  <c r="T63" i="32"/>
  <c r="S63" i="32"/>
  <c r="R63" i="32"/>
  <c r="Q63" i="32"/>
  <c r="P63" i="32"/>
  <c r="O63" i="32"/>
  <c r="N63" i="32"/>
  <c r="M63" i="32"/>
  <c r="L63" i="32"/>
  <c r="K63" i="32"/>
  <c r="J63" i="32"/>
  <c r="I63" i="32"/>
  <c r="H63" i="32"/>
  <c r="G63" i="32"/>
  <c r="F63" i="32"/>
  <c r="E63" i="32"/>
  <c r="D63" i="32"/>
  <c r="C63" i="32"/>
  <c r="W56" i="32"/>
  <c r="V56" i="32"/>
  <c r="U56" i="32"/>
  <c r="T56" i="32"/>
  <c r="S56" i="32"/>
  <c r="R56" i="32"/>
  <c r="Q56" i="32"/>
  <c r="P56" i="32"/>
  <c r="O56" i="32"/>
  <c r="N56" i="32"/>
  <c r="M56" i="32"/>
  <c r="L56" i="32"/>
  <c r="K56" i="32"/>
  <c r="J56" i="32"/>
  <c r="I56" i="32"/>
  <c r="H56" i="32"/>
  <c r="G56" i="32"/>
  <c r="F56" i="32"/>
  <c r="E56" i="32"/>
  <c r="D56" i="32"/>
  <c r="C56" i="32"/>
  <c r="W49" i="32"/>
  <c r="V49" i="32"/>
  <c r="U49" i="32"/>
  <c r="T49" i="32"/>
  <c r="S49" i="32"/>
  <c r="R49" i="32"/>
  <c r="Q49" i="32"/>
  <c r="P49" i="32"/>
  <c r="O49" i="32"/>
  <c r="N49" i="32"/>
  <c r="M49" i="32"/>
  <c r="L49" i="32"/>
  <c r="K49" i="32"/>
  <c r="J49" i="32"/>
  <c r="I49" i="32"/>
  <c r="H49" i="32"/>
  <c r="G49" i="32"/>
  <c r="F49" i="32"/>
  <c r="E49" i="32"/>
  <c r="D49" i="32"/>
  <c r="C49" i="32"/>
  <c r="W42" i="32"/>
  <c r="V42" i="32"/>
  <c r="U42" i="32"/>
  <c r="T42" i="32"/>
  <c r="S42" i="32"/>
  <c r="R42" i="32"/>
  <c r="Q42" i="32"/>
  <c r="P42" i="32"/>
  <c r="O42" i="32"/>
  <c r="N42" i="32"/>
  <c r="M42" i="32"/>
  <c r="L42" i="32"/>
  <c r="K42" i="32"/>
  <c r="J42" i="32"/>
  <c r="I42" i="32"/>
  <c r="H42" i="32"/>
  <c r="G42" i="32"/>
  <c r="F42" i="32"/>
  <c r="E42" i="32"/>
  <c r="D42" i="32"/>
  <c r="C42" i="32"/>
  <c r="W35" i="32"/>
  <c r="V35" i="32"/>
  <c r="U35" i="32"/>
  <c r="T35" i="32"/>
  <c r="S35" i="32"/>
  <c r="R35" i="32"/>
  <c r="Q35" i="32"/>
  <c r="P35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W28" i="32"/>
  <c r="V28" i="32"/>
  <c r="U28" i="32"/>
  <c r="T28" i="32"/>
  <c r="S28" i="32"/>
  <c r="R28" i="32"/>
  <c r="Q28" i="32"/>
  <c r="P28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W21" i="32"/>
  <c r="V21" i="32"/>
  <c r="U21" i="32"/>
  <c r="T21" i="32"/>
  <c r="S21" i="32"/>
  <c r="R21" i="32"/>
  <c r="Q21" i="32"/>
  <c r="P21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W14" i="32"/>
  <c r="V14" i="32"/>
  <c r="U14" i="32"/>
  <c r="T14" i="32"/>
  <c r="T22" i="32" s="1"/>
  <c r="S14" i="32"/>
  <c r="R14" i="32"/>
  <c r="R22" i="32" s="1"/>
  <c r="Q14" i="32"/>
  <c r="P14" i="32"/>
  <c r="O14" i="32"/>
  <c r="N14" i="32"/>
  <c r="M14" i="32"/>
  <c r="L14" i="32"/>
  <c r="L22" i="32" s="1"/>
  <c r="K14" i="32"/>
  <c r="J14" i="32"/>
  <c r="J22" i="32" s="1"/>
  <c r="I14" i="32"/>
  <c r="H14" i="32"/>
  <c r="G14" i="32"/>
  <c r="F14" i="32"/>
  <c r="E14" i="32"/>
  <c r="D14" i="32"/>
  <c r="D22" i="32" s="1"/>
  <c r="C14" i="32"/>
  <c r="W63" i="31"/>
  <c r="V63" i="31"/>
  <c r="U63" i="31"/>
  <c r="T63" i="31"/>
  <c r="S63" i="31"/>
  <c r="R63" i="31"/>
  <c r="Q63" i="31"/>
  <c r="P63" i="31"/>
  <c r="O63" i="31"/>
  <c r="N63" i="31"/>
  <c r="M63" i="31"/>
  <c r="L63" i="31"/>
  <c r="K63" i="31"/>
  <c r="J63" i="31"/>
  <c r="I63" i="31"/>
  <c r="H63" i="31"/>
  <c r="G63" i="31"/>
  <c r="F63" i="31"/>
  <c r="E63" i="31"/>
  <c r="D63" i="31"/>
  <c r="C63" i="31"/>
  <c r="W56" i="31"/>
  <c r="V56" i="31"/>
  <c r="U56" i="31"/>
  <c r="T56" i="31"/>
  <c r="S56" i="31"/>
  <c r="R56" i="31"/>
  <c r="Q56" i="31"/>
  <c r="P56" i="31"/>
  <c r="O56" i="31"/>
  <c r="N56" i="31"/>
  <c r="M56" i="31"/>
  <c r="L56" i="31"/>
  <c r="K56" i="31"/>
  <c r="J56" i="31"/>
  <c r="I56" i="31"/>
  <c r="H56" i="31"/>
  <c r="G56" i="31"/>
  <c r="F56" i="31"/>
  <c r="E56" i="31"/>
  <c r="D56" i="31"/>
  <c r="C56" i="31"/>
  <c r="W49" i="31"/>
  <c r="V49" i="31"/>
  <c r="U49" i="31"/>
  <c r="T49" i="31"/>
  <c r="S49" i="31"/>
  <c r="R49" i="31"/>
  <c r="Q49" i="31"/>
  <c r="P49" i="31"/>
  <c r="O49" i="31"/>
  <c r="N49" i="31"/>
  <c r="M49" i="31"/>
  <c r="L49" i="31"/>
  <c r="K49" i="31"/>
  <c r="J49" i="31"/>
  <c r="I49" i="31"/>
  <c r="H49" i="31"/>
  <c r="G49" i="31"/>
  <c r="F49" i="31"/>
  <c r="E49" i="31"/>
  <c r="D49" i="31"/>
  <c r="C49" i="31"/>
  <c r="W42" i="31"/>
  <c r="V42" i="31"/>
  <c r="U42" i="31"/>
  <c r="T42" i="31"/>
  <c r="S42" i="31"/>
  <c r="R42" i="31"/>
  <c r="Q42" i="31"/>
  <c r="P42" i="31"/>
  <c r="O42" i="31"/>
  <c r="N42" i="31"/>
  <c r="M42" i="31"/>
  <c r="L42" i="31"/>
  <c r="K42" i="31"/>
  <c r="J42" i="31"/>
  <c r="I42" i="31"/>
  <c r="H42" i="31"/>
  <c r="G42" i="31"/>
  <c r="F42" i="31"/>
  <c r="E42" i="31"/>
  <c r="D42" i="31"/>
  <c r="C42" i="31"/>
  <c r="W35" i="31"/>
  <c r="V35" i="31"/>
  <c r="U35" i="31"/>
  <c r="T35" i="31"/>
  <c r="S35" i="31"/>
  <c r="R35" i="31"/>
  <c r="Q35" i="31"/>
  <c r="P35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W28" i="31"/>
  <c r="V28" i="31"/>
  <c r="U28" i="31"/>
  <c r="T28" i="31"/>
  <c r="S28" i="31"/>
  <c r="R28" i="31"/>
  <c r="Q28" i="31"/>
  <c r="P28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W21" i="31"/>
  <c r="V21" i="31"/>
  <c r="U21" i="31"/>
  <c r="T21" i="31"/>
  <c r="S21" i="31"/>
  <c r="R21" i="31"/>
  <c r="Q21" i="31"/>
  <c r="P21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W14" i="31"/>
  <c r="V14" i="31"/>
  <c r="U14" i="31"/>
  <c r="T14" i="31"/>
  <c r="S14" i="31"/>
  <c r="R14" i="31"/>
  <c r="R22" i="31" s="1"/>
  <c r="Q14" i="31"/>
  <c r="P14" i="31"/>
  <c r="O14" i="31"/>
  <c r="N14" i="31"/>
  <c r="M14" i="31"/>
  <c r="L14" i="31"/>
  <c r="K14" i="31"/>
  <c r="J14" i="31"/>
  <c r="J22" i="31" s="1"/>
  <c r="I14" i="31"/>
  <c r="H14" i="31"/>
  <c r="G14" i="31"/>
  <c r="F14" i="31"/>
  <c r="E14" i="31"/>
  <c r="D14" i="31"/>
  <c r="C14" i="31"/>
  <c r="X63" i="30"/>
  <c r="W63" i="30"/>
  <c r="V63" i="30"/>
  <c r="U63" i="30"/>
  <c r="T63" i="30"/>
  <c r="S63" i="30"/>
  <c r="R63" i="30"/>
  <c r="Q63" i="30"/>
  <c r="P63" i="30"/>
  <c r="O63" i="30"/>
  <c r="N63" i="30"/>
  <c r="M63" i="30"/>
  <c r="L63" i="30"/>
  <c r="K63" i="30"/>
  <c r="J63" i="30"/>
  <c r="I63" i="30"/>
  <c r="H63" i="30"/>
  <c r="G63" i="30"/>
  <c r="F63" i="30"/>
  <c r="E63" i="30"/>
  <c r="D63" i="30"/>
  <c r="C63" i="30"/>
  <c r="X56" i="30"/>
  <c r="W56" i="30"/>
  <c r="V56" i="30"/>
  <c r="U56" i="30"/>
  <c r="T56" i="30"/>
  <c r="S56" i="30"/>
  <c r="R56" i="30"/>
  <c r="Q56" i="30"/>
  <c r="P56" i="30"/>
  <c r="O56" i="30"/>
  <c r="N56" i="30"/>
  <c r="M56" i="30"/>
  <c r="L56" i="30"/>
  <c r="K56" i="30"/>
  <c r="J56" i="30"/>
  <c r="I56" i="30"/>
  <c r="H56" i="30"/>
  <c r="G56" i="30"/>
  <c r="F56" i="30"/>
  <c r="E56" i="30"/>
  <c r="D56" i="30"/>
  <c r="C56" i="30"/>
  <c r="X49" i="30"/>
  <c r="W49" i="30"/>
  <c r="V49" i="30"/>
  <c r="U49" i="30"/>
  <c r="T49" i="30"/>
  <c r="S49" i="30"/>
  <c r="R49" i="30"/>
  <c r="Q49" i="30"/>
  <c r="P49" i="30"/>
  <c r="O49" i="30"/>
  <c r="N49" i="30"/>
  <c r="M49" i="30"/>
  <c r="L49" i="30"/>
  <c r="K49" i="30"/>
  <c r="J49" i="30"/>
  <c r="I49" i="30"/>
  <c r="H49" i="30"/>
  <c r="G49" i="30"/>
  <c r="F49" i="30"/>
  <c r="E49" i="30"/>
  <c r="D49" i="30"/>
  <c r="C49" i="30"/>
  <c r="X42" i="30"/>
  <c r="W42" i="30"/>
  <c r="V42" i="30"/>
  <c r="U42" i="30"/>
  <c r="T42" i="30"/>
  <c r="S42" i="30"/>
  <c r="R42" i="30"/>
  <c r="Q42" i="30"/>
  <c r="P42" i="30"/>
  <c r="O42" i="30"/>
  <c r="N42" i="30"/>
  <c r="M42" i="30"/>
  <c r="L42" i="30"/>
  <c r="K42" i="30"/>
  <c r="J42" i="30"/>
  <c r="I42" i="30"/>
  <c r="H42" i="30"/>
  <c r="G42" i="30"/>
  <c r="F42" i="30"/>
  <c r="E42" i="30"/>
  <c r="D42" i="30"/>
  <c r="C42" i="30"/>
  <c r="X35" i="30"/>
  <c r="W35" i="30"/>
  <c r="V35" i="30"/>
  <c r="U35" i="30"/>
  <c r="T35" i="30"/>
  <c r="S35" i="30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X28" i="30"/>
  <c r="W28" i="30"/>
  <c r="V28" i="30"/>
  <c r="U28" i="30"/>
  <c r="T28" i="30"/>
  <c r="S28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X21" i="30"/>
  <c r="W21" i="30"/>
  <c r="V21" i="30"/>
  <c r="U21" i="30"/>
  <c r="T21" i="30"/>
  <c r="S21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X14" i="30"/>
  <c r="W14" i="30"/>
  <c r="V14" i="30"/>
  <c r="V22" i="30" s="1"/>
  <c r="U14" i="30"/>
  <c r="T14" i="30"/>
  <c r="S14" i="30"/>
  <c r="S22" i="30" s="1"/>
  <c r="R14" i="30"/>
  <c r="R22" i="30" s="1"/>
  <c r="Q14" i="30"/>
  <c r="P14" i="30"/>
  <c r="O14" i="30"/>
  <c r="N14" i="30"/>
  <c r="N22" i="30" s="1"/>
  <c r="M14" i="30"/>
  <c r="L14" i="30"/>
  <c r="K14" i="30"/>
  <c r="K22" i="30" s="1"/>
  <c r="J14" i="30"/>
  <c r="J22" i="30" s="1"/>
  <c r="I14" i="30"/>
  <c r="H14" i="30"/>
  <c r="G14" i="30"/>
  <c r="F14" i="30"/>
  <c r="F22" i="30" s="1"/>
  <c r="E14" i="30"/>
  <c r="D14" i="30"/>
  <c r="C14" i="30"/>
  <c r="C22" i="30" s="1"/>
  <c r="X63" i="29"/>
  <c r="W63" i="29"/>
  <c r="V63" i="29"/>
  <c r="X56" i="29"/>
  <c r="W56" i="29"/>
  <c r="V56" i="29"/>
  <c r="X49" i="29"/>
  <c r="W49" i="29"/>
  <c r="V49" i="29"/>
  <c r="X42" i="29"/>
  <c r="W42" i="29"/>
  <c r="V42" i="29"/>
  <c r="X35" i="29"/>
  <c r="W35" i="29"/>
  <c r="V35" i="29"/>
  <c r="X28" i="29"/>
  <c r="W28" i="29"/>
  <c r="V28" i="29"/>
  <c r="X21" i="29"/>
  <c r="W21" i="29"/>
  <c r="V21" i="29"/>
  <c r="X14" i="29"/>
  <c r="W14" i="29"/>
  <c r="V14" i="29"/>
  <c r="U63" i="29"/>
  <c r="T63" i="29"/>
  <c r="S63" i="29"/>
  <c r="R63" i="29"/>
  <c r="Q63" i="29"/>
  <c r="P63" i="29"/>
  <c r="O63" i="29"/>
  <c r="N63" i="29"/>
  <c r="M63" i="29"/>
  <c r="L63" i="29"/>
  <c r="K63" i="29"/>
  <c r="J63" i="29"/>
  <c r="I63" i="29"/>
  <c r="H63" i="29"/>
  <c r="G63" i="29"/>
  <c r="F63" i="29"/>
  <c r="E63" i="29"/>
  <c r="D63" i="29"/>
  <c r="C63" i="29"/>
  <c r="U56" i="29"/>
  <c r="T56" i="29"/>
  <c r="S56" i="29"/>
  <c r="R56" i="29"/>
  <c r="Q56" i="29"/>
  <c r="P56" i="29"/>
  <c r="O56" i="29"/>
  <c r="N56" i="29"/>
  <c r="M56" i="29"/>
  <c r="L56" i="29"/>
  <c r="K56" i="29"/>
  <c r="J56" i="29"/>
  <c r="I56" i="29"/>
  <c r="H56" i="29"/>
  <c r="G56" i="29"/>
  <c r="F56" i="29"/>
  <c r="E56" i="29"/>
  <c r="D56" i="29"/>
  <c r="C56" i="29"/>
  <c r="U49" i="29"/>
  <c r="T49" i="29"/>
  <c r="S49" i="29"/>
  <c r="R49" i="29"/>
  <c r="Q49" i="29"/>
  <c r="P49" i="29"/>
  <c r="O49" i="29"/>
  <c r="N49" i="29"/>
  <c r="M49" i="29"/>
  <c r="L49" i="29"/>
  <c r="K49" i="29"/>
  <c r="J49" i="29"/>
  <c r="I49" i="29"/>
  <c r="H49" i="29"/>
  <c r="G49" i="29"/>
  <c r="F49" i="29"/>
  <c r="E49" i="29"/>
  <c r="D49" i="29"/>
  <c r="C49" i="29"/>
  <c r="U42" i="29"/>
  <c r="T42" i="29"/>
  <c r="S42" i="29"/>
  <c r="R42" i="29"/>
  <c r="Q42" i="29"/>
  <c r="P42" i="29"/>
  <c r="O42" i="29"/>
  <c r="N42" i="29"/>
  <c r="M42" i="29"/>
  <c r="L42" i="29"/>
  <c r="K42" i="29"/>
  <c r="J42" i="29"/>
  <c r="I42" i="29"/>
  <c r="H42" i="29"/>
  <c r="G42" i="29"/>
  <c r="F42" i="29"/>
  <c r="E42" i="29"/>
  <c r="D42" i="29"/>
  <c r="C42" i="29"/>
  <c r="U35" i="29"/>
  <c r="T35" i="29"/>
  <c r="S35" i="29"/>
  <c r="R35" i="29"/>
  <c r="Q35" i="29"/>
  <c r="P35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U28" i="29"/>
  <c r="T28" i="29"/>
  <c r="S28" i="29"/>
  <c r="R28" i="29"/>
  <c r="Q28" i="29"/>
  <c r="P28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U21" i="29"/>
  <c r="T21" i="29"/>
  <c r="S21" i="29"/>
  <c r="R21" i="29"/>
  <c r="Q21" i="29"/>
  <c r="P21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U14" i="29"/>
  <c r="T14" i="29"/>
  <c r="S14" i="29"/>
  <c r="R14" i="29"/>
  <c r="Q14" i="29"/>
  <c r="P14" i="29"/>
  <c r="O14" i="29"/>
  <c r="N14" i="29"/>
  <c r="M14" i="29"/>
  <c r="L14" i="29"/>
  <c r="K14" i="29"/>
  <c r="I14" i="29"/>
  <c r="H14" i="29"/>
  <c r="G14" i="29"/>
  <c r="F14" i="29"/>
  <c r="E14" i="29"/>
  <c r="D14" i="29"/>
  <c r="C14" i="29"/>
  <c r="U63" i="28"/>
  <c r="T63" i="28"/>
  <c r="S63" i="28"/>
  <c r="R63" i="28"/>
  <c r="Q63" i="28"/>
  <c r="P63" i="28"/>
  <c r="O63" i="28"/>
  <c r="N63" i="28"/>
  <c r="M63" i="28"/>
  <c r="L63" i="28"/>
  <c r="K63" i="28"/>
  <c r="J63" i="28"/>
  <c r="I63" i="28"/>
  <c r="H63" i="28"/>
  <c r="G63" i="28"/>
  <c r="F63" i="28"/>
  <c r="E63" i="28"/>
  <c r="D63" i="28"/>
  <c r="C63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U49" i="28"/>
  <c r="T49" i="28"/>
  <c r="S49" i="28"/>
  <c r="R49" i="28"/>
  <c r="Q49" i="28"/>
  <c r="P49" i="28"/>
  <c r="O49" i="28"/>
  <c r="N49" i="28"/>
  <c r="M49" i="28"/>
  <c r="L49" i="28"/>
  <c r="K49" i="28"/>
  <c r="J49" i="28"/>
  <c r="I49" i="28"/>
  <c r="H49" i="28"/>
  <c r="G49" i="28"/>
  <c r="F49" i="28"/>
  <c r="E49" i="28"/>
  <c r="D49" i="28"/>
  <c r="C49" i="28"/>
  <c r="U42" i="28"/>
  <c r="T42" i="28"/>
  <c r="S42" i="28"/>
  <c r="R42" i="28"/>
  <c r="Q42" i="28"/>
  <c r="P42" i="28"/>
  <c r="O42" i="28"/>
  <c r="N42" i="28"/>
  <c r="M42" i="28"/>
  <c r="L42" i="28"/>
  <c r="K42" i="28"/>
  <c r="J42" i="28"/>
  <c r="I42" i="28"/>
  <c r="H42" i="28"/>
  <c r="G42" i="28"/>
  <c r="F42" i="28"/>
  <c r="E42" i="28"/>
  <c r="D42" i="28"/>
  <c r="C42" i="28"/>
  <c r="U35" i="28"/>
  <c r="T35" i="28"/>
  <c r="S35" i="28"/>
  <c r="R35" i="28"/>
  <c r="Q35" i="28"/>
  <c r="P35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U28" i="28"/>
  <c r="T28" i="28"/>
  <c r="S28" i="28"/>
  <c r="R28" i="28"/>
  <c r="Q28" i="28"/>
  <c r="P28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U21" i="28"/>
  <c r="T21" i="28"/>
  <c r="S21" i="28"/>
  <c r="R21" i="28"/>
  <c r="Q21" i="28"/>
  <c r="P21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U14" i="28"/>
  <c r="U22" i="28" s="1"/>
  <c r="T14" i="28"/>
  <c r="S14" i="28"/>
  <c r="R14" i="28"/>
  <c r="Q14" i="28"/>
  <c r="P14" i="28"/>
  <c r="O14" i="28"/>
  <c r="N14" i="28"/>
  <c r="M14" i="28"/>
  <c r="M22" i="28" s="1"/>
  <c r="L14" i="28"/>
  <c r="K14" i="28"/>
  <c r="J14" i="28"/>
  <c r="I14" i="28"/>
  <c r="H14" i="28"/>
  <c r="G14" i="28"/>
  <c r="F14" i="28"/>
  <c r="E14" i="28"/>
  <c r="E22" i="28" s="1"/>
  <c r="D14" i="28"/>
  <c r="C14" i="28"/>
  <c r="U63" i="27"/>
  <c r="T63" i="27"/>
  <c r="S63" i="27"/>
  <c r="R63" i="27"/>
  <c r="Q63" i="27"/>
  <c r="P63" i="27"/>
  <c r="O63" i="27"/>
  <c r="N63" i="27"/>
  <c r="M63" i="27"/>
  <c r="L63" i="27"/>
  <c r="K63" i="27"/>
  <c r="J63" i="27"/>
  <c r="I63" i="27"/>
  <c r="H63" i="27"/>
  <c r="G63" i="27"/>
  <c r="F63" i="27"/>
  <c r="E63" i="27"/>
  <c r="D63" i="27"/>
  <c r="C63" i="27"/>
  <c r="U56" i="27"/>
  <c r="T56" i="27"/>
  <c r="S56" i="27"/>
  <c r="R56" i="27"/>
  <c r="Q56" i="27"/>
  <c r="P56" i="27"/>
  <c r="O56" i="27"/>
  <c r="N56" i="27"/>
  <c r="M56" i="27"/>
  <c r="L56" i="27"/>
  <c r="K56" i="27"/>
  <c r="J56" i="27"/>
  <c r="I56" i="27"/>
  <c r="H56" i="27"/>
  <c r="G56" i="27"/>
  <c r="F56" i="27"/>
  <c r="E56" i="27"/>
  <c r="D56" i="27"/>
  <c r="C56" i="27"/>
  <c r="U49" i="27"/>
  <c r="T49" i="27"/>
  <c r="S49" i="27"/>
  <c r="R49" i="27"/>
  <c r="Q49" i="27"/>
  <c r="P49" i="27"/>
  <c r="O49" i="27"/>
  <c r="N49" i="27"/>
  <c r="M49" i="27"/>
  <c r="L49" i="27"/>
  <c r="K49" i="27"/>
  <c r="J49" i="27"/>
  <c r="I49" i="27"/>
  <c r="H49" i="27"/>
  <c r="G49" i="27"/>
  <c r="F49" i="27"/>
  <c r="E49" i="27"/>
  <c r="D49" i="27"/>
  <c r="C49" i="27"/>
  <c r="U42" i="27"/>
  <c r="T42" i="27"/>
  <c r="S42" i="27"/>
  <c r="R42" i="27"/>
  <c r="Q42" i="27"/>
  <c r="P42" i="27"/>
  <c r="O42" i="27"/>
  <c r="N42" i="27"/>
  <c r="M42" i="27"/>
  <c r="L42" i="27"/>
  <c r="K42" i="27"/>
  <c r="J42" i="27"/>
  <c r="I42" i="27"/>
  <c r="H42" i="27"/>
  <c r="G42" i="27"/>
  <c r="F42" i="27"/>
  <c r="E42" i="27"/>
  <c r="D42" i="27"/>
  <c r="C42" i="27"/>
  <c r="U35" i="27"/>
  <c r="T35" i="27"/>
  <c r="S35" i="27"/>
  <c r="R35" i="27"/>
  <c r="Q35" i="27"/>
  <c r="P35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U21" i="27"/>
  <c r="T21" i="27"/>
  <c r="S21" i="27"/>
  <c r="R21" i="27"/>
  <c r="Q21" i="27"/>
  <c r="P21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U14" i="27"/>
  <c r="U22" i="27" s="1"/>
  <c r="T14" i="27"/>
  <c r="S14" i="27"/>
  <c r="R14" i="27"/>
  <c r="Q14" i="27"/>
  <c r="P14" i="27"/>
  <c r="O14" i="27"/>
  <c r="N14" i="27"/>
  <c r="M14" i="27"/>
  <c r="M22" i="27" s="1"/>
  <c r="L14" i="27"/>
  <c r="K14" i="27"/>
  <c r="J14" i="27"/>
  <c r="I14" i="27"/>
  <c r="H14" i="27"/>
  <c r="G14" i="27"/>
  <c r="F14" i="27"/>
  <c r="E14" i="27"/>
  <c r="E22" i="27" s="1"/>
  <c r="D14" i="27"/>
  <c r="C14" i="27"/>
  <c r="W14" i="26"/>
  <c r="W21" i="26"/>
  <c r="W64" i="26" s="1"/>
  <c r="V63" i="26"/>
  <c r="U63" i="26"/>
  <c r="T63" i="26"/>
  <c r="S63" i="26"/>
  <c r="R63" i="26"/>
  <c r="Q63" i="26"/>
  <c r="P63" i="26"/>
  <c r="O63" i="26"/>
  <c r="N63" i="26"/>
  <c r="M63" i="26"/>
  <c r="L63" i="26"/>
  <c r="K63" i="26"/>
  <c r="J63" i="26"/>
  <c r="I63" i="26"/>
  <c r="H63" i="26"/>
  <c r="G63" i="26"/>
  <c r="F63" i="26"/>
  <c r="E63" i="26"/>
  <c r="D63" i="26"/>
  <c r="C63" i="26"/>
  <c r="V56" i="26"/>
  <c r="U56" i="26"/>
  <c r="T56" i="26"/>
  <c r="S56" i="26"/>
  <c r="R56" i="26"/>
  <c r="Q56" i="26"/>
  <c r="P56" i="26"/>
  <c r="P71" i="26" s="1"/>
  <c r="O56" i="26"/>
  <c r="N56" i="26"/>
  <c r="M56" i="26"/>
  <c r="L56" i="26"/>
  <c r="K56" i="26"/>
  <c r="J56" i="26"/>
  <c r="I56" i="26"/>
  <c r="H56" i="26"/>
  <c r="G56" i="26"/>
  <c r="F56" i="26"/>
  <c r="E56" i="26"/>
  <c r="D56" i="26"/>
  <c r="C56" i="26"/>
  <c r="C71" i="26" s="1"/>
  <c r="V49" i="26"/>
  <c r="U49" i="26"/>
  <c r="T49" i="26"/>
  <c r="S49" i="26"/>
  <c r="R49" i="26"/>
  <c r="Q49" i="26"/>
  <c r="P49" i="26"/>
  <c r="O49" i="26"/>
  <c r="N49" i="26"/>
  <c r="M49" i="26"/>
  <c r="L49" i="26"/>
  <c r="K49" i="26"/>
  <c r="J49" i="26"/>
  <c r="I49" i="26"/>
  <c r="H49" i="26"/>
  <c r="G49" i="26"/>
  <c r="F49" i="26"/>
  <c r="E49" i="26"/>
  <c r="D49" i="26"/>
  <c r="C49" i="26"/>
  <c r="V42" i="26"/>
  <c r="U42" i="26"/>
  <c r="T42" i="26"/>
  <c r="S42" i="26"/>
  <c r="R42" i="26"/>
  <c r="Q42" i="26"/>
  <c r="P42" i="26"/>
  <c r="O42" i="26"/>
  <c r="N42" i="26"/>
  <c r="M42" i="26"/>
  <c r="L42" i="26"/>
  <c r="K42" i="26"/>
  <c r="J42" i="26"/>
  <c r="I42" i="26"/>
  <c r="I71" i="26" s="1"/>
  <c r="H42" i="26"/>
  <c r="G42" i="26"/>
  <c r="F42" i="26"/>
  <c r="E42" i="26"/>
  <c r="D42" i="26"/>
  <c r="C42" i="26"/>
  <c r="V35" i="26"/>
  <c r="U35" i="26"/>
  <c r="U71" i="26" s="1"/>
  <c r="T35" i="26"/>
  <c r="S35" i="26"/>
  <c r="R35" i="26"/>
  <c r="Q35" i="26"/>
  <c r="P35" i="26"/>
  <c r="O35" i="26"/>
  <c r="N35" i="26"/>
  <c r="M35" i="26"/>
  <c r="L35" i="26"/>
  <c r="K35" i="26"/>
  <c r="J35" i="26"/>
  <c r="J71" i="26" s="1"/>
  <c r="I35" i="26"/>
  <c r="H35" i="26"/>
  <c r="G35" i="26"/>
  <c r="F35" i="26"/>
  <c r="E35" i="26"/>
  <c r="D35" i="26"/>
  <c r="C35" i="26"/>
  <c r="V28" i="26"/>
  <c r="U28" i="26"/>
  <c r="T28" i="26"/>
  <c r="S28" i="26"/>
  <c r="R28" i="26"/>
  <c r="Q28" i="26"/>
  <c r="P28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V21" i="26"/>
  <c r="U21" i="26"/>
  <c r="T21" i="26"/>
  <c r="S21" i="26"/>
  <c r="R21" i="26"/>
  <c r="Q21" i="26"/>
  <c r="P21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V14" i="26"/>
  <c r="U14" i="26"/>
  <c r="U22" i="26" s="1"/>
  <c r="T14" i="26"/>
  <c r="S14" i="26"/>
  <c r="R14" i="26"/>
  <c r="Q14" i="26"/>
  <c r="P14" i="26"/>
  <c r="O14" i="26"/>
  <c r="N14" i="26"/>
  <c r="M14" i="26"/>
  <c r="L14" i="26"/>
  <c r="K14" i="26"/>
  <c r="K71" i="26" s="1"/>
  <c r="J14" i="26"/>
  <c r="I14" i="26"/>
  <c r="H14" i="26"/>
  <c r="G14" i="26"/>
  <c r="F14" i="26"/>
  <c r="E14" i="26"/>
  <c r="E22" i="26" s="1"/>
  <c r="D14" i="26"/>
  <c r="C14" i="26"/>
  <c r="V63" i="25"/>
  <c r="U63" i="25"/>
  <c r="T63" i="25"/>
  <c r="S63" i="25"/>
  <c r="R63" i="25"/>
  <c r="Q63" i="25"/>
  <c r="P63" i="25"/>
  <c r="O63" i="25"/>
  <c r="N63" i="25"/>
  <c r="M63" i="25"/>
  <c r="L63" i="25"/>
  <c r="K63" i="25"/>
  <c r="J63" i="25"/>
  <c r="I63" i="25"/>
  <c r="H63" i="25"/>
  <c r="G63" i="25"/>
  <c r="F63" i="25"/>
  <c r="E63" i="25"/>
  <c r="D63" i="25"/>
  <c r="C63" i="25"/>
  <c r="V56" i="25"/>
  <c r="U56" i="25"/>
  <c r="T56" i="25"/>
  <c r="S56" i="25"/>
  <c r="R56" i="25"/>
  <c r="Q56" i="25"/>
  <c r="P56" i="25"/>
  <c r="O56" i="25"/>
  <c r="N56" i="25"/>
  <c r="M56" i="25"/>
  <c r="L56" i="25"/>
  <c r="K56" i="25"/>
  <c r="J56" i="25"/>
  <c r="I56" i="25"/>
  <c r="H56" i="25"/>
  <c r="G56" i="25"/>
  <c r="F56" i="25"/>
  <c r="E56" i="25"/>
  <c r="D56" i="25"/>
  <c r="C56" i="25"/>
  <c r="V49" i="25"/>
  <c r="U49" i="25"/>
  <c r="T49" i="25"/>
  <c r="S49" i="25"/>
  <c r="R49" i="25"/>
  <c r="Q49" i="25"/>
  <c r="P49" i="25"/>
  <c r="O49" i="25"/>
  <c r="N49" i="25"/>
  <c r="M49" i="25"/>
  <c r="L49" i="25"/>
  <c r="K49" i="25"/>
  <c r="J49" i="25"/>
  <c r="I49" i="25"/>
  <c r="H49" i="25"/>
  <c r="G49" i="25"/>
  <c r="F49" i="25"/>
  <c r="E49" i="25"/>
  <c r="D49" i="25"/>
  <c r="C49" i="25"/>
  <c r="V42" i="25"/>
  <c r="U42" i="25"/>
  <c r="T42" i="25"/>
  <c r="S42" i="25"/>
  <c r="R42" i="25"/>
  <c r="Q42" i="25"/>
  <c r="P42" i="25"/>
  <c r="O42" i="25"/>
  <c r="N42" i="25"/>
  <c r="M42" i="25"/>
  <c r="L42" i="25"/>
  <c r="K42" i="25"/>
  <c r="J42" i="25"/>
  <c r="I42" i="25"/>
  <c r="H42" i="25"/>
  <c r="G42" i="25"/>
  <c r="F42" i="25"/>
  <c r="E42" i="25"/>
  <c r="D42" i="25"/>
  <c r="C42" i="25"/>
  <c r="V35" i="25"/>
  <c r="U35" i="25"/>
  <c r="T35" i="25"/>
  <c r="S35" i="25"/>
  <c r="R35" i="25"/>
  <c r="Q35" i="25"/>
  <c r="P35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V21" i="25"/>
  <c r="U21" i="25"/>
  <c r="T21" i="25"/>
  <c r="S21" i="25"/>
  <c r="R21" i="25"/>
  <c r="Q21" i="25"/>
  <c r="P21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V14" i="25"/>
  <c r="V22" i="25" s="1"/>
  <c r="U14" i="25"/>
  <c r="U22" i="25" s="1"/>
  <c r="T14" i="25"/>
  <c r="T22" i="25" s="1"/>
  <c r="S14" i="25"/>
  <c r="R14" i="25"/>
  <c r="Q14" i="25"/>
  <c r="P14" i="25"/>
  <c r="O14" i="25"/>
  <c r="O22" i="25" s="1"/>
  <c r="N14" i="25"/>
  <c r="N22" i="25" s="1"/>
  <c r="M14" i="25"/>
  <c r="M22" i="25" s="1"/>
  <c r="L14" i="25"/>
  <c r="L22" i="25" s="1"/>
  <c r="K14" i="25"/>
  <c r="J14" i="25"/>
  <c r="I14" i="25"/>
  <c r="H14" i="25"/>
  <c r="G14" i="25"/>
  <c r="G22" i="25" s="1"/>
  <c r="F14" i="25"/>
  <c r="F22" i="25" s="1"/>
  <c r="E14" i="25"/>
  <c r="E22" i="25" s="1"/>
  <c r="D14" i="25"/>
  <c r="D22" i="25" s="1"/>
  <c r="C14" i="25"/>
  <c r="V63" i="24"/>
  <c r="U63" i="24"/>
  <c r="T63" i="24"/>
  <c r="S63" i="24"/>
  <c r="R63" i="24"/>
  <c r="Q63" i="24"/>
  <c r="P63" i="24"/>
  <c r="O63" i="24"/>
  <c r="N63" i="24"/>
  <c r="M63" i="24"/>
  <c r="L63" i="24"/>
  <c r="K63" i="24"/>
  <c r="J63" i="24"/>
  <c r="I63" i="24"/>
  <c r="H63" i="24"/>
  <c r="G63" i="24"/>
  <c r="F63" i="24"/>
  <c r="E63" i="24"/>
  <c r="D63" i="24"/>
  <c r="C63" i="24"/>
  <c r="V56" i="24"/>
  <c r="U56" i="24"/>
  <c r="T56" i="24"/>
  <c r="S56" i="24"/>
  <c r="R56" i="24"/>
  <c r="Q56" i="24"/>
  <c r="P56" i="24"/>
  <c r="O56" i="24"/>
  <c r="N56" i="24"/>
  <c r="M56" i="24"/>
  <c r="L56" i="24"/>
  <c r="K56" i="24"/>
  <c r="J56" i="24"/>
  <c r="I56" i="24"/>
  <c r="H56" i="24"/>
  <c r="G56" i="24"/>
  <c r="F56" i="24"/>
  <c r="E56" i="24"/>
  <c r="D56" i="24"/>
  <c r="C56" i="24"/>
  <c r="V49" i="24"/>
  <c r="U49" i="24"/>
  <c r="T49" i="24"/>
  <c r="S49" i="24"/>
  <c r="R49" i="24"/>
  <c r="Q49" i="24"/>
  <c r="P49" i="24"/>
  <c r="O49" i="24"/>
  <c r="N49" i="24"/>
  <c r="M49" i="24"/>
  <c r="L49" i="24"/>
  <c r="K49" i="24"/>
  <c r="J49" i="24"/>
  <c r="I49" i="24"/>
  <c r="H49" i="24"/>
  <c r="G49" i="24"/>
  <c r="F49" i="24"/>
  <c r="E49" i="24"/>
  <c r="D49" i="24"/>
  <c r="C49" i="24"/>
  <c r="V42" i="24"/>
  <c r="U42" i="24"/>
  <c r="T42" i="24"/>
  <c r="S42" i="24"/>
  <c r="R42" i="24"/>
  <c r="Q42" i="24"/>
  <c r="P42" i="24"/>
  <c r="O42" i="24"/>
  <c r="N42" i="24"/>
  <c r="M42" i="24"/>
  <c r="L42" i="24"/>
  <c r="K42" i="24"/>
  <c r="J42" i="24"/>
  <c r="I42" i="24"/>
  <c r="H42" i="24"/>
  <c r="G42" i="24"/>
  <c r="F42" i="24"/>
  <c r="E42" i="24"/>
  <c r="D42" i="24"/>
  <c r="C42" i="24"/>
  <c r="V35" i="24"/>
  <c r="U35" i="24"/>
  <c r="T35" i="24"/>
  <c r="S35" i="24"/>
  <c r="R35" i="24"/>
  <c r="Q35" i="24"/>
  <c r="P35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V28" i="24"/>
  <c r="U28" i="24"/>
  <c r="T28" i="24"/>
  <c r="S28" i="24"/>
  <c r="R28" i="24"/>
  <c r="Q28" i="24"/>
  <c r="P28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V21" i="24"/>
  <c r="U21" i="24"/>
  <c r="T21" i="24"/>
  <c r="S21" i="24"/>
  <c r="R21" i="24"/>
  <c r="Q21" i="24"/>
  <c r="P21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V14" i="24"/>
  <c r="V22" i="24" s="1"/>
  <c r="U14" i="24"/>
  <c r="U22" i="24" s="1"/>
  <c r="T14" i="24"/>
  <c r="T22" i="24" s="1"/>
  <c r="S14" i="24"/>
  <c r="R14" i="24"/>
  <c r="Q14" i="24"/>
  <c r="P14" i="24"/>
  <c r="O14" i="24"/>
  <c r="O22" i="24" s="1"/>
  <c r="N14" i="24"/>
  <c r="N22" i="24" s="1"/>
  <c r="M14" i="24"/>
  <c r="M22" i="24" s="1"/>
  <c r="L14" i="24"/>
  <c r="L22" i="24" s="1"/>
  <c r="K14" i="24"/>
  <c r="J14" i="24"/>
  <c r="I14" i="24"/>
  <c r="H14" i="24"/>
  <c r="G14" i="24"/>
  <c r="G22" i="24" s="1"/>
  <c r="F14" i="24"/>
  <c r="F22" i="24" s="1"/>
  <c r="E14" i="24"/>
  <c r="E22" i="24" s="1"/>
  <c r="D14" i="24"/>
  <c r="D22" i="24" s="1"/>
  <c r="C14" i="24"/>
  <c r="V63" i="23"/>
  <c r="U63" i="23"/>
  <c r="T63" i="23"/>
  <c r="S63" i="23"/>
  <c r="R63" i="23"/>
  <c r="Q63" i="23"/>
  <c r="P63" i="23"/>
  <c r="O63" i="23"/>
  <c r="N63" i="23"/>
  <c r="M63" i="23"/>
  <c r="L63" i="23"/>
  <c r="K63" i="23"/>
  <c r="J63" i="23"/>
  <c r="I63" i="23"/>
  <c r="H63" i="23"/>
  <c r="G63" i="23"/>
  <c r="F63" i="23"/>
  <c r="E63" i="23"/>
  <c r="D63" i="23"/>
  <c r="C63" i="23"/>
  <c r="V56" i="23"/>
  <c r="U56" i="23"/>
  <c r="T56" i="23"/>
  <c r="S56" i="23"/>
  <c r="R56" i="23"/>
  <c r="Q56" i="23"/>
  <c r="P56" i="23"/>
  <c r="O56" i="23"/>
  <c r="N56" i="23"/>
  <c r="M56" i="23"/>
  <c r="L56" i="23"/>
  <c r="K56" i="23"/>
  <c r="J56" i="23"/>
  <c r="I56" i="23"/>
  <c r="H56" i="23"/>
  <c r="G56" i="23"/>
  <c r="F56" i="23"/>
  <c r="E56" i="23"/>
  <c r="D56" i="23"/>
  <c r="C56" i="23"/>
  <c r="V49" i="23"/>
  <c r="U49" i="23"/>
  <c r="T49" i="23"/>
  <c r="S49" i="23"/>
  <c r="R49" i="23"/>
  <c r="Q49" i="23"/>
  <c r="P49" i="23"/>
  <c r="O49" i="23"/>
  <c r="N49" i="23"/>
  <c r="M49" i="23"/>
  <c r="L49" i="23"/>
  <c r="K49" i="23"/>
  <c r="J49" i="23"/>
  <c r="I49" i="23"/>
  <c r="H49" i="23"/>
  <c r="G49" i="23"/>
  <c r="F49" i="23"/>
  <c r="E49" i="23"/>
  <c r="D49" i="23"/>
  <c r="C49" i="23"/>
  <c r="V42" i="23"/>
  <c r="U42" i="23"/>
  <c r="T42" i="23"/>
  <c r="S42" i="23"/>
  <c r="R42" i="23"/>
  <c r="Q42" i="23"/>
  <c r="P42" i="23"/>
  <c r="O42" i="23"/>
  <c r="N42" i="23"/>
  <c r="M42" i="23"/>
  <c r="L42" i="23"/>
  <c r="K42" i="23"/>
  <c r="J42" i="23"/>
  <c r="I42" i="23"/>
  <c r="H42" i="23"/>
  <c r="G42" i="23"/>
  <c r="F42" i="23"/>
  <c r="E42" i="23"/>
  <c r="D42" i="23"/>
  <c r="C42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V21" i="23"/>
  <c r="U21" i="23"/>
  <c r="T21" i="23"/>
  <c r="S21" i="23"/>
  <c r="R21" i="23"/>
  <c r="Q21" i="23"/>
  <c r="P21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V14" i="23"/>
  <c r="V22" i="23" s="1"/>
  <c r="U14" i="23"/>
  <c r="U22" i="23" s="1"/>
  <c r="T14" i="23"/>
  <c r="T22" i="23" s="1"/>
  <c r="S14" i="23"/>
  <c r="R14" i="23"/>
  <c r="Q14" i="23"/>
  <c r="P14" i="23"/>
  <c r="O14" i="23"/>
  <c r="O22" i="23" s="1"/>
  <c r="N14" i="23"/>
  <c r="N22" i="23" s="1"/>
  <c r="M14" i="23"/>
  <c r="M22" i="23" s="1"/>
  <c r="L14" i="23"/>
  <c r="L22" i="23" s="1"/>
  <c r="K14" i="23"/>
  <c r="J14" i="23"/>
  <c r="I14" i="23"/>
  <c r="H14" i="23"/>
  <c r="G14" i="23"/>
  <c r="G22" i="23" s="1"/>
  <c r="F14" i="23"/>
  <c r="F22" i="23" s="1"/>
  <c r="E14" i="23"/>
  <c r="E22" i="23" s="1"/>
  <c r="D14" i="23"/>
  <c r="D22" i="23" s="1"/>
  <c r="C14" i="23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I63" i="22"/>
  <c r="H63" i="22"/>
  <c r="G63" i="22"/>
  <c r="F63" i="22"/>
  <c r="E63" i="22"/>
  <c r="D63" i="22"/>
  <c r="C63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I56" i="22"/>
  <c r="H56" i="22"/>
  <c r="G56" i="22"/>
  <c r="F56" i="22"/>
  <c r="E56" i="22"/>
  <c r="D56" i="22"/>
  <c r="C56" i="22"/>
  <c r="V49" i="22"/>
  <c r="U49" i="22"/>
  <c r="T49" i="22"/>
  <c r="S49" i="22"/>
  <c r="R49" i="22"/>
  <c r="Q49" i="22"/>
  <c r="P49" i="22"/>
  <c r="O49" i="22"/>
  <c r="N49" i="22"/>
  <c r="M49" i="22"/>
  <c r="L49" i="22"/>
  <c r="K49" i="22"/>
  <c r="J49" i="22"/>
  <c r="I49" i="22"/>
  <c r="H49" i="22"/>
  <c r="G49" i="22"/>
  <c r="F49" i="22"/>
  <c r="E49" i="22"/>
  <c r="D49" i="22"/>
  <c r="C49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I42" i="22"/>
  <c r="H42" i="22"/>
  <c r="G42" i="22"/>
  <c r="F42" i="22"/>
  <c r="E42" i="22"/>
  <c r="D42" i="22"/>
  <c r="C42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E35" i="22"/>
  <c r="D35" i="22"/>
  <c r="C35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E28" i="22"/>
  <c r="D28" i="22"/>
  <c r="C28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I21" i="22"/>
  <c r="H21" i="22"/>
  <c r="G21" i="22"/>
  <c r="F21" i="22"/>
  <c r="E21" i="22"/>
  <c r="D21" i="22"/>
  <c r="C21" i="22"/>
  <c r="V14" i="22"/>
  <c r="V22" i="22" s="1"/>
  <c r="U14" i="22"/>
  <c r="U22" i="22" s="1"/>
  <c r="T14" i="22"/>
  <c r="T22" i="22" s="1"/>
  <c r="S14" i="22"/>
  <c r="R14" i="22"/>
  <c r="Q14" i="22"/>
  <c r="P14" i="22"/>
  <c r="O14" i="22"/>
  <c r="O22" i="22" s="1"/>
  <c r="N14" i="22"/>
  <c r="N22" i="22" s="1"/>
  <c r="M14" i="22"/>
  <c r="M22" i="22" s="1"/>
  <c r="L14" i="22"/>
  <c r="L22" i="22" s="1"/>
  <c r="K14" i="22"/>
  <c r="J14" i="22"/>
  <c r="I14" i="22"/>
  <c r="H14" i="22"/>
  <c r="G14" i="22"/>
  <c r="G22" i="22" s="1"/>
  <c r="F14" i="22"/>
  <c r="F22" i="22" s="1"/>
  <c r="E14" i="22"/>
  <c r="E22" i="22" s="1"/>
  <c r="D14" i="22"/>
  <c r="D22" i="22" s="1"/>
  <c r="C14" i="22"/>
  <c r="V63" i="21"/>
  <c r="U63" i="21"/>
  <c r="T63" i="21"/>
  <c r="S63" i="21"/>
  <c r="R63" i="21"/>
  <c r="Q63" i="21"/>
  <c r="P63" i="21"/>
  <c r="O63" i="21"/>
  <c r="N63" i="21"/>
  <c r="M63" i="21"/>
  <c r="L63" i="21"/>
  <c r="K63" i="21"/>
  <c r="J63" i="21"/>
  <c r="I63" i="21"/>
  <c r="H63" i="21"/>
  <c r="G63" i="21"/>
  <c r="F63" i="21"/>
  <c r="E63" i="21"/>
  <c r="D63" i="21"/>
  <c r="C63" i="21"/>
  <c r="V56" i="21"/>
  <c r="U56" i="21"/>
  <c r="T56" i="21"/>
  <c r="S56" i="21"/>
  <c r="R56" i="21"/>
  <c r="Q56" i="21"/>
  <c r="P56" i="21"/>
  <c r="O56" i="21"/>
  <c r="N56" i="21"/>
  <c r="M56" i="21"/>
  <c r="L56" i="21"/>
  <c r="K56" i="21"/>
  <c r="J56" i="21"/>
  <c r="I56" i="21"/>
  <c r="H56" i="21"/>
  <c r="G56" i="21"/>
  <c r="F56" i="21"/>
  <c r="E56" i="21"/>
  <c r="D56" i="21"/>
  <c r="C56" i="21"/>
  <c r="V49" i="21"/>
  <c r="U49" i="21"/>
  <c r="T49" i="21"/>
  <c r="S49" i="21"/>
  <c r="R49" i="21"/>
  <c r="Q49" i="21"/>
  <c r="P49" i="21"/>
  <c r="O49" i="21"/>
  <c r="N49" i="21"/>
  <c r="M49" i="21"/>
  <c r="L49" i="21"/>
  <c r="K49" i="21"/>
  <c r="J49" i="21"/>
  <c r="I49" i="21"/>
  <c r="H49" i="21"/>
  <c r="G49" i="21"/>
  <c r="F49" i="21"/>
  <c r="E49" i="21"/>
  <c r="D49" i="21"/>
  <c r="C49" i="21"/>
  <c r="V42" i="21"/>
  <c r="U42" i="21"/>
  <c r="T42" i="21"/>
  <c r="S42" i="21"/>
  <c r="R42" i="21"/>
  <c r="Q42" i="21"/>
  <c r="P42" i="21"/>
  <c r="O42" i="21"/>
  <c r="N42" i="21"/>
  <c r="M42" i="21"/>
  <c r="L42" i="21"/>
  <c r="K42" i="21"/>
  <c r="J42" i="21"/>
  <c r="I42" i="21"/>
  <c r="H42" i="21"/>
  <c r="G42" i="21"/>
  <c r="F42" i="21"/>
  <c r="E42" i="21"/>
  <c r="D42" i="21"/>
  <c r="C42" i="21"/>
  <c r="V35" i="21"/>
  <c r="U35" i="21"/>
  <c r="T35" i="21"/>
  <c r="S35" i="21"/>
  <c r="R35" i="21"/>
  <c r="Q35" i="21"/>
  <c r="P35" i="21"/>
  <c r="O35" i="21"/>
  <c r="N35" i="21"/>
  <c r="M35" i="21"/>
  <c r="L35" i="21"/>
  <c r="K35" i="21"/>
  <c r="J35" i="21"/>
  <c r="I35" i="21"/>
  <c r="H35" i="21"/>
  <c r="G35" i="21"/>
  <c r="F35" i="21"/>
  <c r="E35" i="21"/>
  <c r="D35" i="21"/>
  <c r="C35" i="21"/>
  <c r="V28" i="21"/>
  <c r="U28" i="21"/>
  <c r="T28" i="21"/>
  <c r="S28" i="21"/>
  <c r="R28" i="21"/>
  <c r="Q28" i="21"/>
  <c r="P28" i="21"/>
  <c r="O28" i="21"/>
  <c r="N28" i="21"/>
  <c r="M28" i="21"/>
  <c r="L28" i="21"/>
  <c r="K28" i="21"/>
  <c r="J28" i="21"/>
  <c r="I28" i="21"/>
  <c r="H28" i="21"/>
  <c r="G28" i="21"/>
  <c r="F28" i="21"/>
  <c r="E28" i="21"/>
  <c r="D28" i="21"/>
  <c r="C28" i="21"/>
  <c r="V21" i="21"/>
  <c r="U21" i="21"/>
  <c r="T21" i="21"/>
  <c r="S21" i="21"/>
  <c r="R21" i="21"/>
  <c r="Q21" i="21"/>
  <c r="P21" i="21"/>
  <c r="O21" i="21"/>
  <c r="N21" i="21"/>
  <c r="M21" i="21"/>
  <c r="L21" i="21"/>
  <c r="K21" i="21"/>
  <c r="J21" i="21"/>
  <c r="I21" i="21"/>
  <c r="H21" i="21"/>
  <c r="G21" i="21"/>
  <c r="F21" i="21"/>
  <c r="E21" i="21"/>
  <c r="D21" i="21"/>
  <c r="C21" i="21"/>
  <c r="V14" i="21"/>
  <c r="V22" i="21" s="1"/>
  <c r="U14" i="21"/>
  <c r="U22" i="21" s="1"/>
  <c r="T14" i="21"/>
  <c r="T22" i="21" s="1"/>
  <c r="S14" i="21"/>
  <c r="R14" i="21"/>
  <c r="Q14" i="21"/>
  <c r="P14" i="21"/>
  <c r="O14" i="21"/>
  <c r="O22" i="21" s="1"/>
  <c r="N14" i="21"/>
  <c r="N22" i="21" s="1"/>
  <c r="M14" i="21"/>
  <c r="M22" i="21" s="1"/>
  <c r="L14" i="21"/>
  <c r="L22" i="21" s="1"/>
  <c r="K14" i="21"/>
  <c r="J14" i="21"/>
  <c r="I14" i="21"/>
  <c r="H14" i="21"/>
  <c r="G14" i="21"/>
  <c r="G22" i="21" s="1"/>
  <c r="F14" i="21"/>
  <c r="F22" i="21" s="1"/>
  <c r="E14" i="21"/>
  <c r="E22" i="21" s="1"/>
  <c r="D14" i="21"/>
  <c r="D22" i="21" s="1"/>
  <c r="C14" i="21"/>
  <c r="V63" i="20"/>
  <c r="U63" i="20"/>
  <c r="T63" i="20"/>
  <c r="S63" i="20"/>
  <c r="R63" i="20"/>
  <c r="Q63" i="20"/>
  <c r="V56" i="20"/>
  <c r="U56" i="20"/>
  <c r="T56" i="20"/>
  <c r="S56" i="20"/>
  <c r="R56" i="20"/>
  <c r="Q56" i="20"/>
  <c r="V49" i="20"/>
  <c r="U49" i="20"/>
  <c r="T49" i="20"/>
  <c r="S49" i="20"/>
  <c r="R49" i="20"/>
  <c r="Q49" i="20"/>
  <c r="V42" i="20"/>
  <c r="U42" i="20"/>
  <c r="T42" i="20"/>
  <c r="S42" i="20"/>
  <c r="R42" i="20"/>
  <c r="Q42" i="20"/>
  <c r="V35" i="20"/>
  <c r="U35" i="20"/>
  <c r="T35" i="20"/>
  <c r="S35" i="20"/>
  <c r="R35" i="20"/>
  <c r="Q35" i="20"/>
  <c r="V28" i="20"/>
  <c r="U28" i="20"/>
  <c r="T28" i="20"/>
  <c r="S28" i="20"/>
  <c r="R28" i="20"/>
  <c r="Q28" i="20"/>
  <c r="V21" i="20"/>
  <c r="U21" i="20"/>
  <c r="T21" i="20"/>
  <c r="S21" i="20"/>
  <c r="R21" i="20"/>
  <c r="Q21" i="20"/>
  <c r="V14" i="20"/>
  <c r="U14" i="20"/>
  <c r="U22" i="20" s="1"/>
  <c r="T14" i="20"/>
  <c r="S14" i="20"/>
  <c r="R14" i="20"/>
  <c r="R22" i="20" s="1"/>
  <c r="Q14" i="20"/>
  <c r="Q22" i="20" s="1"/>
  <c r="P63" i="20"/>
  <c r="O63" i="20"/>
  <c r="N63" i="20"/>
  <c r="M63" i="20"/>
  <c r="L63" i="20"/>
  <c r="K63" i="20"/>
  <c r="J63" i="20"/>
  <c r="I63" i="20"/>
  <c r="H63" i="20"/>
  <c r="G63" i="20"/>
  <c r="F63" i="20"/>
  <c r="E63" i="20"/>
  <c r="D63" i="20"/>
  <c r="C63" i="20"/>
  <c r="P56" i="20"/>
  <c r="O56" i="20"/>
  <c r="N56" i="20"/>
  <c r="M56" i="20"/>
  <c r="L56" i="20"/>
  <c r="K56" i="20"/>
  <c r="J56" i="20"/>
  <c r="I56" i="20"/>
  <c r="H56" i="20"/>
  <c r="G56" i="20"/>
  <c r="F56" i="20"/>
  <c r="E56" i="20"/>
  <c r="D56" i="20"/>
  <c r="C56" i="20"/>
  <c r="P49" i="20"/>
  <c r="O49" i="20"/>
  <c r="N49" i="20"/>
  <c r="M49" i="20"/>
  <c r="L49" i="20"/>
  <c r="K49" i="20"/>
  <c r="J49" i="20"/>
  <c r="I49" i="20"/>
  <c r="H49" i="20"/>
  <c r="G49" i="20"/>
  <c r="F49" i="20"/>
  <c r="E49" i="20"/>
  <c r="D49" i="20"/>
  <c r="C49" i="20"/>
  <c r="P42" i="20"/>
  <c r="O42" i="20"/>
  <c r="N42" i="20"/>
  <c r="M42" i="20"/>
  <c r="L42" i="20"/>
  <c r="K42" i="20"/>
  <c r="J42" i="20"/>
  <c r="I42" i="20"/>
  <c r="H42" i="20"/>
  <c r="G42" i="20"/>
  <c r="F42" i="20"/>
  <c r="E42" i="20"/>
  <c r="D42" i="20"/>
  <c r="C42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P28" i="20"/>
  <c r="O28" i="20"/>
  <c r="N28" i="20"/>
  <c r="M28" i="20"/>
  <c r="L28" i="20"/>
  <c r="K28" i="20"/>
  <c r="J28" i="20"/>
  <c r="I28" i="20"/>
  <c r="H28" i="20"/>
  <c r="G28" i="20"/>
  <c r="F28" i="20"/>
  <c r="E28" i="20"/>
  <c r="D28" i="20"/>
  <c r="C28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D21" i="20"/>
  <c r="C21" i="20"/>
  <c r="P14" i="20"/>
  <c r="O14" i="20"/>
  <c r="N14" i="20"/>
  <c r="M14" i="20"/>
  <c r="L14" i="20"/>
  <c r="L22" i="20" s="1"/>
  <c r="K14" i="20"/>
  <c r="K22" i="20" s="1"/>
  <c r="J14" i="20"/>
  <c r="I14" i="20"/>
  <c r="H14" i="20"/>
  <c r="G14" i="20"/>
  <c r="G22" i="20" s="1"/>
  <c r="F14" i="20"/>
  <c r="E14" i="20"/>
  <c r="D14" i="20"/>
  <c r="D22" i="20" s="1"/>
  <c r="C14" i="20"/>
  <c r="C22" i="20" s="1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P14" i="19"/>
  <c r="O14" i="19"/>
  <c r="O22" i="19" s="1"/>
  <c r="N14" i="19"/>
  <c r="M14" i="19"/>
  <c r="L14" i="19"/>
  <c r="K14" i="19"/>
  <c r="K22" i="19" s="1"/>
  <c r="J14" i="19"/>
  <c r="J22" i="19" s="1"/>
  <c r="I14" i="19"/>
  <c r="H14" i="19"/>
  <c r="G14" i="19"/>
  <c r="G22" i="19" s="1"/>
  <c r="F14" i="19"/>
  <c r="E14" i="19"/>
  <c r="D14" i="19"/>
  <c r="C14" i="19"/>
  <c r="C22" i="19" s="1"/>
  <c r="P63" i="18"/>
  <c r="O63" i="18"/>
  <c r="N63" i="18"/>
  <c r="M63" i="18"/>
  <c r="L63" i="18"/>
  <c r="K63" i="18"/>
  <c r="J63" i="18"/>
  <c r="I63" i="18"/>
  <c r="H63" i="18"/>
  <c r="G63" i="18"/>
  <c r="F63" i="18"/>
  <c r="E63" i="18"/>
  <c r="D63" i="18"/>
  <c r="C63" i="18"/>
  <c r="P56" i="18"/>
  <c r="O56" i="18"/>
  <c r="N56" i="18"/>
  <c r="M56" i="18"/>
  <c r="L56" i="18"/>
  <c r="K56" i="18"/>
  <c r="J56" i="18"/>
  <c r="I56" i="18"/>
  <c r="H56" i="18"/>
  <c r="G56" i="18"/>
  <c r="F56" i="18"/>
  <c r="E56" i="18"/>
  <c r="D56" i="18"/>
  <c r="C56" i="18"/>
  <c r="P49" i="18"/>
  <c r="O49" i="18"/>
  <c r="N49" i="18"/>
  <c r="M49" i="18"/>
  <c r="L49" i="18"/>
  <c r="K49" i="18"/>
  <c r="J49" i="18"/>
  <c r="I49" i="18"/>
  <c r="H49" i="18"/>
  <c r="G49" i="18"/>
  <c r="F49" i="18"/>
  <c r="E49" i="18"/>
  <c r="D49" i="18"/>
  <c r="C49" i="18"/>
  <c r="P42" i="18"/>
  <c r="O42" i="18"/>
  <c r="N42" i="18"/>
  <c r="M42" i="18"/>
  <c r="L42" i="18"/>
  <c r="K42" i="18"/>
  <c r="J42" i="18"/>
  <c r="I42" i="18"/>
  <c r="H42" i="18"/>
  <c r="G42" i="18"/>
  <c r="F42" i="18"/>
  <c r="E42" i="18"/>
  <c r="D42" i="18"/>
  <c r="C42" i="18"/>
  <c r="P35" i="18"/>
  <c r="O35" i="18"/>
  <c r="N35" i="18"/>
  <c r="M35" i="18"/>
  <c r="L35" i="18"/>
  <c r="K35" i="18"/>
  <c r="J35" i="18"/>
  <c r="I35" i="18"/>
  <c r="H35" i="18"/>
  <c r="G35" i="18"/>
  <c r="F35" i="18"/>
  <c r="E35" i="18"/>
  <c r="D35" i="18"/>
  <c r="C35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P21" i="18"/>
  <c r="O21" i="18"/>
  <c r="N21" i="18"/>
  <c r="M21" i="18"/>
  <c r="L21" i="18"/>
  <c r="K21" i="18"/>
  <c r="J21" i="18"/>
  <c r="I21" i="18"/>
  <c r="H21" i="18"/>
  <c r="G21" i="18"/>
  <c r="F21" i="18"/>
  <c r="E21" i="18"/>
  <c r="D21" i="18"/>
  <c r="C21" i="18"/>
  <c r="P14" i="18"/>
  <c r="O14" i="18"/>
  <c r="O22" i="18" s="1"/>
  <c r="N14" i="18"/>
  <c r="M14" i="18"/>
  <c r="L14" i="18"/>
  <c r="K14" i="18"/>
  <c r="K22" i="18" s="1"/>
  <c r="J14" i="18"/>
  <c r="J22" i="18" s="1"/>
  <c r="I14" i="18"/>
  <c r="H14" i="18"/>
  <c r="G14" i="18"/>
  <c r="G22" i="18" s="1"/>
  <c r="F14" i="18"/>
  <c r="E14" i="18"/>
  <c r="D14" i="18"/>
  <c r="C14" i="18"/>
  <c r="C22" i="18" s="1"/>
  <c r="W63" i="16"/>
  <c r="V63" i="16"/>
  <c r="U63" i="16"/>
  <c r="T63" i="16"/>
  <c r="S63" i="16"/>
  <c r="R63" i="16"/>
  <c r="Q63" i="16"/>
  <c r="P63" i="16"/>
  <c r="O63" i="16"/>
  <c r="N63" i="16"/>
  <c r="M63" i="16"/>
  <c r="L63" i="16"/>
  <c r="K63" i="16"/>
  <c r="J63" i="16"/>
  <c r="I63" i="16"/>
  <c r="H63" i="16"/>
  <c r="G63" i="16"/>
  <c r="F63" i="16"/>
  <c r="E63" i="16"/>
  <c r="D63" i="16"/>
  <c r="C63" i="16"/>
  <c r="W56" i="16"/>
  <c r="V56" i="16"/>
  <c r="U56" i="16"/>
  <c r="T56" i="16"/>
  <c r="S56" i="16"/>
  <c r="R56" i="16"/>
  <c r="Q56" i="16"/>
  <c r="P56" i="16"/>
  <c r="O56" i="16"/>
  <c r="N56" i="16"/>
  <c r="M56" i="16"/>
  <c r="L56" i="16"/>
  <c r="K56" i="16"/>
  <c r="J56" i="16"/>
  <c r="I56" i="16"/>
  <c r="H56" i="16"/>
  <c r="G56" i="16"/>
  <c r="F56" i="16"/>
  <c r="E56" i="16"/>
  <c r="D56" i="16"/>
  <c r="C56" i="16"/>
  <c r="W49" i="16"/>
  <c r="V49" i="16"/>
  <c r="U49" i="16"/>
  <c r="T49" i="16"/>
  <c r="S49" i="16"/>
  <c r="R49" i="16"/>
  <c r="Q49" i="16"/>
  <c r="P49" i="16"/>
  <c r="O49" i="16"/>
  <c r="N49" i="16"/>
  <c r="M49" i="16"/>
  <c r="L49" i="16"/>
  <c r="K49" i="16"/>
  <c r="J49" i="16"/>
  <c r="I49" i="16"/>
  <c r="H49" i="16"/>
  <c r="G49" i="16"/>
  <c r="F49" i="16"/>
  <c r="E49" i="16"/>
  <c r="D49" i="16"/>
  <c r="C49" i="16"/>
  <c r="W42" i="16"/>
  <c r="V42" i="16"/>
  <c r="U42" i="16"/>
  <c r="T42" i="16"/>
  <c r="S42" i="16"/>
  <c r="R42" i="16"/>
  <c r="Q42" i="16"/>
  <c r="P42" i="16"/>
  <c r="O42" i="16"/>
  <c r="N42" i="16"/>
  <c r="M42" i="16"/>
  <c r="L42" i="16"/>
  <c r="K42" i="16"/>
  <c r="J42" i="16"/>
  <c r="I42" i="16"/>
  <c r="H42" i="16"/>
  <c r="G42" i="16"/>
  <c r="F42" i="16"/>
  <c r="E42" i="16"/>
  <c r="D42" i="16"/>
  <c r="C42" i="16"/>
  <c r="W35" i="16"/>
  <c r="V35" i="16"/>
  <c r="U35" i="16"/>
  <c r="T35" i="16"/>
  <c r="S35" i="16"/>
  <c r="R35" i="16"/>
  <c r="Q35" i="16"/>
  <c r="P35" i="16"/>
  <c r="O35" i="16"/>
  <c r="N35" i="16"/>
  <c r="M35" i="16"/>
  <c r="L35" i="16"/>
  <c r="K35" i="16"/>
  <c r="J35" i="16"/>
  <c r="I35" i="16"/>
  <c r="H35" i="16"/>
  <c r="G35" i="16"/>
  <c r="F35" i="16"/>
  <c r="E35" i="16"/>
  <c r="D35" i="16"/>
  <c r="C35" i="16"/>
  <c r="W28" i="16"/>
  <c r="V28" i="16"/>
  <c r="U28" i="16"/>
  <c r="T28" i="16"/>
  <c r="S28" i="16"/>
  <c r="R28" i="16"/>
  <c r="Q28" i="16"/>
  <c r="P28" i="16"/>
  <c r="O28" i="16"/>
  <c r="N28" i="16"/>
  <c r="M28" i="16"/>
  <c r="L28" i="16"/>
  <c r="K28" i="16"/>
  <c r="J28" i="16"/>
  <c r="I28" i="16"/>
  <c r="H28" i="16"/>
  <c r="G28" i="16"/>
  <c r="F28" i="16"/>
  <c r="E28" i="16"/>
  <c r="D28" i="16"/>
  <c r="C28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C21" i="16"/>
  <c r="W14" i="16"/>
  <c r="V14" i="16"/>
  <c r="U14" i="16"/>
  <c r="U22" i="16" s="1"/>
  <c r="T14" i="16"/>
  <c r="S14" i="16"/>
  <c r="R14" i="16"/>
  <c r="Q14" i="16"/>
  <c r="P14" i="16"/>
  <c r="O14" i="16"/>
  <c r="N14" i="16"/>
  <c r="M14" i="16"/>
  <c r="M22" i="16" s="1"/>
  <c r="L14" i="16"/>
  <c r="K14" i="16"/>
  <c r="K22" i="16" s="1"/>
  <c r="J14" i="16"/>
  <c r="I14" i="16"/>
  <c r="H14" i="16"/>
  <c r="G14" i="16"/>
  <c r="F14" i="16"/>
  <c r="E14" i="16"/>
  <c r="E22" i="16" s="1"/>
  <c r="D14" i="16"/>
  <c r="C14" i="16"/>
  <c r="C22" i="16" s="1"/>
  <c r="W63" i="15"/>
  <c r="V63" i="15"/>
  <c r="U63" i="15"/>
  <c r="T63" i="15"/>
  <c r="S63" i="15"/>
  <c r="R63" i="15"/>
  <c r="Q63" i="15"/>
  <c r="P63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W56" i="15"/>
  <c r="V56" i="15"/>
  <c r="U56" i="15"/>
  <c r="T56" i="15"/>
  <c r="S56" i="15"/>
  <c r="R56" i="15"/>
  <c r="Q56" i="15"/>
  <c r="P56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W49" i="15"/>
  <c r="V49" i="15"/>
  <c r="U49" i="15"/>
  <c r="T49" i="15"/>
  <c r="S49" i="15"/>
  <c r="R49" i="15"/>
  <c r="Q49" i="15"/>
  <c r="P49" i="15"/>
  <c r="O49" i="15"/>
  <c r="N49" i="15"/>
  <c r="M49" i="15"/>
  <c r="L49" i="15"/>
  <c r="K49" i="15"/>
  <c r="J49" i="15"/>
  <c r="I49" i="15"/>
  <c r="H49" i="15"/>
  <c r="G49" i="15"/>
  <c r="F49" i="15"/>
  <c r="E49" i="15"/>
  <c r="D49" i="15"/>
  <c r="C49" i="15"/>
  <c r="W42" i="15"/>
  <c r="V42" i="15"/>
  <c r="U42" i="15"/>
  <c r="T42" i="15"/>
  <c r="S42" i="15"/>
  <c r="R42" i="15"/>
  <c r="Q42" i="15"/>
  <c r="P42" i="15"/>
  <c r="O42" i="15"/>
  <c r="N42" i="15"/>
  <c r="M42" i="15"/>
  <c r="L42" i="15"/>
  <c r="K42" i="15"/>
  <c r="J42" i="15"/>
  <c r="I42" i="15"/>
  <c r="H42" i="15"/>
  <c r="G42" i="15"/>
  <c r="F42" i="15"/>
  <c r="E42" i="15"/>
  <c r="D42" i="15"/>
  <c r="C42" i="15"/>
  <c r="W35" i="15"/>
  <c r="V35" i="15"/>
  <c r="U35" i="15"/>
  <c r="T35" i="15"/>
  <c r="S35" i="15"/>
  <c r="R35" i="15"/>
  <c r="Q35" i="15"/>
  <c r="P35" i="15"/>
  <c r="O35" i="15"/>
  <c r="N35" i="15"/>
  <c r="N85" i="15" s="1"/>
  <c r="M35" i="15"/>
  <c r="L35" i="15"/>
  <c r="K35" i="15"/>
  <c r="J35" i="15"/>
  <c r="I35" i="15"/>
  <c r="H35" i="15"/>
  <c r="G35" i="15"/>
  <c r="F35" i="15"/>
  <c r="E35" i="15"/>
  <c r="D35" i="15"/>
  <c r="C35" i="15"/>
  <c r="W28" i="15"/>
  <c r="V28" i="15"/>
  <c r="U28" i="15"/>
  <c r="T28" i="15"/>
  <c r="S28" i="15"/>
  <c r="R28" i="15"/>
  <c r="Q28" i="15"/>
  <c r="P28" i="15"/>
  <c r="N28" i="15"/>
  <c r="M28" i="15"/>
  <c r="L28" i="15"/>
  <c r="K28" i="15"/>
  <c r="J28" i="15"/>
  <c r="I28" i="15"/>
  <c r="H28" i="15"/>
  <c r="G28" i="15"/>
  <c r="F28" i="15"/>
  <c r="E28" i="15"/>
  <c r="D28" i="15"/>
  <c r="C28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W14" i="15"/>
  <c r="V14" i="15"/>
  <c r="U14" i="15"/>
  <c r="T14" i="15"/>
  <c r="S14" i="15"/>
  <c r="R14" i="15"/>
  <c r="Q14" i="15"/>
  <c r="P14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C14" i="15"/>
  <c r="W63" i="14"/>
  <c r="W56" i="14"/>
  <c r="W49" i="14"/>
  <c r="W42" i="14"/>
  <c r="W35" i="14"/>
  <c r="W28" i="14"/>
  <c r="W21" i="14"/>
  <c r="W14" i="14"/>
  <c r="V63" i="14"/>
  <c r="U63" i="14"/>
  <c r="T63" i="14"/>
  <c r="S63" i="14"/>
  <c r="R63" i="14"/>
  <c r="Q63" i="14"/>
  <c r="P63" i="14"/>
  <c r="O63" i="14"/>
  <c r="N63" i="14"/>
  <c r="M63" i="14"/>
  <c r="L63" i="14"/>
  <c r="K63" i="14"/>
  <c r="J63" i="14"/>
  <c r="I63" i="14"/>
  <c r="H63" i="14"/>
  <c r="G63" i="14"/>
  <c r="F63" i="14"/>
  <c r="E63" i="14"/>
  <c r="D63" i="14"/>
  <c r="C63" i="14"/>
  <c r="V56" i="14"/>
  <c r="U56" i="14"/>
  <c r="T56" i="14"/>
  <c r="S56" i="14"/>
  <c r="R56" i="14"/>
  <c r="Q56" i="14"/>
  <c r="P56" i="14"/>
  <c r="O56" i="14"/>
  <c r="N56" i="14"/>
  <c r="M56" i="14"/>
  <c r="L56" i="14"/>
  <c r="K56" i="14"/>
  <c r="J56" i="14"/>
  <c r="I56" i="14"/>
  <c r="H56" i="14"/>
  <c r="G56" i="14"/>
  <c r="F56" i="14"/>
  <c r="E56" i="14"/>
  <c r="D56" i="14"/>
  <c r="C56" i="14"/>
  <c r="V49" i="14"/>
  <c r="U49" i="14"/>
  <c r="T49" i="14"/>
  <c r="S49" i="14"/>
  <c r="R49" i="14"/>
  <c r="Q49" i="14"/>
  <c r="P49" i="14"/>
  <c r="O49" i="14"/>
  <c r="N49" i="14"/>
  <c r="M49" i="14"/>
  <c r="L49" i="14"/>
  <c r="K49" i="14"/>
  <c r="J49" i="14"/>
  <c r="I49" i="14"/>
  <c r="H49" i="14"/>
  <c r="G49" i="14"/>
  <c r="F49" i="14"/>
  <c r="E49" i="14"/>
  <c r="D49" i="14"/>
  <c r="C49" i="14"/>
  <c r="V42" i="14"/>
  <c r="U42" i="14"/>
  <c r="T42" i="14"/>
  <c r="S42" i="14"/>
  <c r="R42" i="14"/>
  <c r="Q42" i="14"/>
  <c r="P42" i="14"/>
  <c r="O42" i="14"/>
  <c r="N42" i="14"/>
  <c r="M42" i="14"/>
  <c r="L42" i="14"/>
  <c r="K42" i="14"/>
  <c r="J42" i="14"/>
  <c r="I42" i="14"/>
  <c r="H42" i="14"/>
  <c r="G42" i="14"/>
  <c r="F42" i="14"/>
  <c r="E42" i="14"/>
  <c r="D42" i="14"/>
  <c r="C42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I35" i="14"/>
  <c r="H35" i="14"/>
  <c r="G35" i="14"/>
  <c r="F35" i="14"/>
  <c r="E35" i="14"/>
  <c r="D35" i="14"/>
  <c r="C35" i="14"/>
  <c r="V28" i="14"/>
  <c r="U28" i="14"/>
  <c r="T28" i="14"/>
  <c r="S28" i="14"/>
  <c r="R28" i="14"/>
  <c r="Q28" i="14"/>
  <c r="P28" i="14"/>
  <c r="O28" i="14"/>
  <c r="N28" i="14"/>
  <c r="M28" i="14"/>
  <c r="L28" i="14"/>
  <c r="K28" i="14"/>
  <c r="J28" i="14"/>
  <c r="I28" i="14"/>
  <c r="H28" i="14"/>
  <c r="G28" i="14"/>
  <c r="F28" i="14"/>
  <c r="E28" i="14"/>
  <c r="D28" i="14"/>
  <c r="C28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V14" i="14"/>
  <c r="V22" i="14" s="1"/>
  <c r="U14" i="14"/>
  <c r="U22" i="14" s="1"/>
  <c r="T14" i="14"/>
  <c r="T22" i="14" s="1"/>
  <c r="S14" i="14"/>
  <c r="S22" i="14" s="1"/>
  <c r="R14" i="14"/>
  <c r="Q14" i="14"/>
  <c r="P14" i="14"/>
  <c r="O14" i="14"/>
  <c r="N14" i="14"/>
  <c r="N22" i="14" s="1"/>
  <c r="M14" i="14"/>
  <c r="M22" i="14" s="1"/>
  <c r="L14" i="14"/>
  <c r="L22" i="14" s="1"/>
  <c r="K14" i="14"/>
  <c r="K22" i="14" s="1"/>
  <c r="J14" i="14"/>
  <c r="I14" i="14"/>
  <c r="H14" i="14"/>
  <c r="G14" i="14"/>
  <c r="F14" i="14"/>
  <c r="F22" i="14" s="1"/>
  <c r="E14" i="14"/>
  <c r="E22" i="14" s="1"/>
  <c r="D14" i="14"/>
  <c r="D22" i="14" s="1"/>
  <c r="C14" i="14"/>
  <c r="C22" i="14" s="1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3" i="13"/>
  <c r="E63" i="13"/>
  <c r="D63" i="13"/>
  <c r="C63" i="13"/>
  <c r="V56" i="13"/>
  <c r="U56" i="13"/>
  <c r="T56" i="13"/>
  <c r="S56" i="13"/>
  <c r="R56" i="13"/>
  <c r="Q56" i="13"/>
  <c r="P56" i="13"/>
  <c r="O56" i="13"/>
  <c r="N56" i="13"/>
  <c r="M56" i="13"/>
  <c r="L56" i="13"/>
  <c r="K56" i="13"/>
  <c r="J56" i="13"/>
  <c r="I56" i="13"/>
  <c r="H56" i="13"/>
  <c r="G56" i="13"/>
  <c r="F56" i="13"/>
  <c r="E56" i="13"/>
  <c r="D56" i="13"/>
  <c r="C56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J49" i="13"/>
  <c r="I49" i="13"/>
  <c r="H49" i="13"/>
  <c r="G49" i="13"/>
  <c r="F49" i="13"/>
  <c r="E49" i="13"/>
  <c r="D49" i="13"/>
  <c r="C49" i="13"/>
  <c r="V42" i="13"/>
  <c r="U42" i="13"/>
  <c r="T42" i="13"/>
  <c r="S42" i="13"/>
  <c r="R42" i="13"/>
  <c r="Q42" i="13"/>
  <c r="P42" i="13"/>
  <c r="O42" i="13"/>
  <c r="N42" i="13"/>
  <c r="M42" i="13"/>
  <c r="L42" i="13"/>
  <c r="K42" i="13"/>
  <c r="J42" i="13"/>
  <c r="I42" i="13"/>
  <c r="H42" i="13"/>
  <c r="G42" i="13"/>
  <c r="F42" i="13"/>
  <c r="E42" i="13"/>
  <c r="D42" i="13"/>
  <c r="C42" i="13"/>
  <c r="V35" i="13"/>
  <c r="U35" i="13"/>
  <c r="T35" i="13"/>
  <c r="S35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F35" i="13"/>
  <c r="E35" i="13"/>
  <c r="D35" i="13"/>
  <c r="C35" i="13"/>
  <c r="V28" i="13"/>
  <c r="U28" i="13"/>
  <c r="T28" i="13"/>
  <c r="S28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F28" i="13"/>
  <c r="E28" i="13"/>
  <c r="D28" i="13"/>
  <c r="C28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V14" i="13"/>
  <c r="V22" i="13" s="1"/>
  <c r="U14" i="13"/>
  <c r="U22" i="13" s="1"/>
  <c r="T14" i="13"/>
  <c r="T22" i="13" s="1"/>
  <c r="S14" i="13"/>
  <c r="S22" i="13" s="1"/>
  <c r="R14" i="13"/>
  <c r="Q14" i="13"/>
  <c r="P14" i="13"/>
  <c r="O14" i="13"/>
  <c r="N14" i="13"/>
  <c r="N22" i="13" s="1"/>
  <c r="M14" i="13"/>
  <c r="M22" i="13" s="1"/>
  <c r="L14" i="13"/>
  <c r="L22" i="13" s="1"/>
  <c r="K14" i="13"/>
  <c r="K22" i="13" s="1"/>
  <c r="J14" i="13"/>
  <c r="I14" i="13"/>
  <c r="H14" i="13"/>
  <c r="G14" i="13"/>
  <c r="F14" i="13"/>
  <c r="F22" i="13" s="1"/>
  <c r="E14" i="13"/>
  <c r="E22" i="13" s="1"/>
  <c r="D14" i="13"/>
  <c r="D22" i="13" s="1"/>
  <c r="C14" i="13"/>
  <c r="C22" i="13" s="1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V28" i="4"/>
  <c r="U28" i="4"/>
  <c r="T28" i="4"/>
  <c r="S28" i="4"/>
  <c r="R28" i="4"/>
  <c r="Q28" i="4"/>
  <c r="P28" i="4"/>
  <c r="O28" i="4"/>
  <c r="N28" i="4"/>
  <c r="M28" i="4"/>
  <c r="L28" i="4"/>
  <c r="K28" i="4"/>
  <c r="J28" i="4"/>
  <c r="I28" i="4"/>
  <c r="H28" i="4"/>
  <c r="G28" i="4"/>
  <c r="F28" i="4"/>
  <c r="E28" i="4"/>
  <c r="D28" i="4"/>
  <c r="C63" i="4"/>
  <c r="C56" i="4"/>
  <c r="C49" i="4"/>
  <c r="C42" i="4"/>
  <c r="C35" i="4"/>
  <c r="C28" i="4"/>
  <c r="C21" i="4"/>
  <c r="C14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V14" i="4"/>
  <c r="U14" i="4"/>
  <c r="T14" i="4"/>
  <c r="S14" i="4"/>
  <c r="R14" i="4"/>
  <c r="Q14" i="4"/>
  <c r="P14" i="4"/>
  <c r="O14" i="4"/>
  <c r="N14" i="4"/>
  <c r="M14" i="4"/>
  <c r="L14" i="4"/>
  <c r="K14" i="4"/>
  <c r="J14" i="4"/>
  <c r="I14" i="4"/>
  <c r="H14" i="4"/>
  <c r="G14" i="4"/>
  <c r="F14" i="4"/>
  <c r="E14" i="4"/>
  <c r="D14" i="4"/>
  <c r="M22" i="26" l="1"/>
  <c r="C78" i="15"/>
  <c r="D78" i="15"/>
  <c r="E78" i="15"/>
  <c r="F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W22" i="14"/>
  <c r="C22" i="15"/>
  <c r="K22" i="15"/>
  <c r="S22" i="15"/>
  <c r="Q71" i="15"/>
  <c r="D22" i="16"/>
  <c r="L22" i="16"/>
  <c r="T22" i="16"/>
  <c r="C22" i="32"/>
  <c r="K22" i="32"/>
  <c r="S22" i="32"/>
  <c r="E22" i="15"/>
  <c r="M22" i="15"/>
  <c r="U22" i="15"/>
  <c r="E22" i="31"/>
  <c r="M22" i="31"/>
  <c r="U22" i="31"/>
  <c r="U22" i="33"/>
  <c r="T71" i="15"/>
  <c r="C22" i="4"/>
  <c r="J71" i="15"/>
  <c r="R71" i="15"/>
  <c r="C71" i="15"/>
  <c r="K71" i="15"/>
  <c r="S71" i="15"/>
  <c r="F22" i="18"/>
  <c r="N22" i="18"/>
  <c r="F22" i="19"/>
  <c r="N22" i="19"/>
  <c r="I71" i="15"/>
  <c r="O22" i="16"/>
  <c r="V22" i="31"/>
  <c r="G22" i="13"/>
  <c r="O22" i="13"/>
  <c r="G22" i="14"/>
  <c r="O22" i="14"/>
  <c r="G22" i="15"/>
  <c r="W22" i="15"/>
  <c r="E71" i="15"/>
  <c r="M71" i="15"/>
  <c r="U71" i="15"/>
  <c r="H22" i="16"/>
  <c r="H22" i="20"/>
  <c r="P22" i="20"/>
  <c r="V22" i="20"/>
  <c r="H22" i="21"/>
  <c r="P22" i="21"/>
  <c r="H22" i="22"/>
  <c r="P22" i="22"/>
  <c r="H22" i="23"/>
  <c r="P22" i="23"/>
  <c r="H22" i="24"/>
  <c r="H22" i="25"/>
  <c r="P22" i="25"/>
  <c r="G22" i="30"/>
  <c r="O22" i="30"/>
  <c r="W22" i="30"/>
  <c r="G22" i="32"/>
  <c r="O22" i="32"/>
  <c r="W22" i="32"/>
  <c r="D71" i="15"/>
  <c r="G22" i="16"/>
  <c r="N22" i="31"/>
  <c r="H22" i="13"/>
  <c r="H22" i="14"/>
  <c r="P22" i="14"/>
  <c r="P71" i="15"/>
  <c r="F71" i="15"/>
  <c r="N71" i="15"/>
  <c r="V71" i="15"/>
  <c r="I22" i="16"/>
  <c r="Q22" i="16"/>
  <c r="I22" i="21"/>
  <c r="Q22" i="21"/>
  <c r="I22" i="22"/>
  <c r="Q22" i="22"/>
  <c r="I22" i="23"/>
  <c r="Q22" i="23"/>
  <c r="I22" i="24"/>
  <c r="Q22" i="24"/>
  <c r="I22" i="25"/>
  <c r="Q22" i="25"/>
  <c r="H22" i="32"/>
  <c r="P22" i="32"/>
  <c r="L71" i="15"/>
  <c r="W22" i="16"/>
  <c r="F22" i="31"/>
  <c r="I22" i="13"/>
  <c r="Q22" i="13"/>
  <c r="I22" i="14"/>
  <c r="Q22" i="14"/>
  <c r="Q22" i="15"/>
  <c r="G71" i="15"/>
  <c r="O71" i="15"/>
  <c r="W71" i="15"/>
  <c r="R22" i="16"/>
  <c r="J22" i="21"/>
  <c r="R22" i="21"/>
  <c r="J22" i="22"/>
  <c r="R22" i="22"/>
  <c r="J22" i="23"/>
  <c r="R22" i="23"/>
  <c r="J22" i="24"/>
  <c r="R22" i="24"/>
  <c r="J22" i="25"/>
  <c r="R22" i="25"/>
  <c r="I22" i="31"/>
  <c r="Q22" i="31"/>
  <c r="Q22" i="33"/>
  <c r="Q29" i="34"/>
  <c r="J22" i="13"/>
  <c r="R22" i="13"/>
  <c r="J22" i="14"/>
  <c r="R22" i="14"/>
  <c r="H71" i="15"/>
  <c r="C22" i="21"/>
  <c r="K22" i="21"/>
  <c r="S22" i="21"/>
  <c r="C22" i="22"/>
  <c r="K22" i="22"/>
  <c r="S22" i="22"/>
  <c r="C22" i="23"/>
  <c r="K22" i="23"/>
  <c r="S22" i="23"/>
  <c r="C22" i="24"/>
  <c r="K22" i="24"/>
  <c r="S22" i="24"/>
  <c r="C22" i="25"/>
  <c r="K22" i="25"/>
  <c r="S22" i="25"/>
  <c r="C22" i="26"/>
  <c r="I22" i="27"/>
  <c r="Q22" i="27"/>
  <c r="I22" i="28"/>
  <c r="Q22" i="28"/>
  <c r="O22" i="20"/>
  <c r="O29" i="15"/>
  <c r="S22" i="29"/>
  <c r="T22" i="29"/>
  <c r="P22" i="24"/>
  <c r="F22" i="26"/>
  <c r="V22" i="26"/>
  <c r="H22" i="26"/>
  <c r="P22" i="26"/>
  <c r="K22" i="26"/>
  <c r="S22" i="26"/>
  <c r="T22" i="26"/>
  <c r="G22" i="26"/>
  <c r="O22" i="26"/>
  <c r="I22" i="26"/>
  <c r="Q22" i="26"/>
  <c r="J22" i="26"/>
  <c r="R22" i="26"/>
  <c r="D22" i="26"/>
  <c r="L22" i="26"/>
  <c r="N22" i="26"/>
  <c r="S22" i="16"/>
  <c r="N22" i="16"/>
  <c r="P22" i="16"/>
  <c r="I22" i="15"/>
  <c r="O22" i="15"/>
  <c r="E29" i="4"/>
  <c r="G29" i="4"/>
  <c r="I29" i="4"/>
  <c r="K29" i="4"/>
  <c r="M29" i="4"/>
  <c r="O29" i="4"/>
  <c r="Q29" i="4"/>
  <c r="S29" i="4"/>
  <c r="U29" i="4"/>
  <c r="C50" i="4"/>
  <c r="D36" i="4"/>
  <c r="H36" i="4"/>
  <c r="T36" i="4"/>
  <c r="E43" i="4"/>
  <c r="I43" i="4"/>
  <c r="M43" i="4"/>
  <c r="Q43" i="4"/>
  <c r="U43" i="4"/>
  <c r="C29" i="13"/>
  <c r="D29" i="13"/>
  <c r="E29" i="13"/>
  <c r="F29" i="13"/>
  <c r="G29" i="13"/>
  <c r="H29" i="13"/>
  <c r="I50" i="13"/>
  <c r="I29" i="13"/>
  <c r="J29" i="13"/>
  <c r="M29" i="13"/>
  <c r="N29" i="13"/>
  <c r="R29" i="13"/>
  <c r="U29" i="13"/>
  <c r="V29" i="13"/>
  <c r="C36" i="13"/>
  <c r="E36" i="13"/>
  <c r="F36" i="13"/>
  <c r="G36" i="13"/>
  <c r="I57" i="13"/>
  <c r="I36" i="13"/>
  <c r="J36" i="13"/>
  <c r="N36" i="13"/>
  <c r="R36" i="13"/>
  <c r="S36" i="13"/>
  <c r="U36" i="13"/>
  <c r="V36" i="13"/>
  <c r="D43" i="13"/>
  <c r="E43" i="13"/>
  <c r="F43" i="13"/>
  <c r="H43" i="13"/>
  <c r="J43" i="13"/>
  <c r="N43" i="13"/>
  <c r="O43" i="13"/>
  <c r="R43" i="13"/>
  <c r="V43" i="13"/>
  <c r="C50" i="13"/>
  <c r="E50" i="13"/>
  <c r="F50" i="13"/>
  <c r="J50" i="13"/>
  <c r="N50" i="13"/>
  <c r="U50" i="13"/>
  <c r="V50" i="13"/>
  <c r="D57" i="13"/>
  <c r="F57" i="13"/>
  <c r="H57" i="13"/>
  <c r="J57" i="13"/>
  <c r="N57" i="13"/>
  <c r="R57" i="13"/>
  <c r="S57" i="13"/>
  <c r="V57" i="13"/>
  <c r="C64" i="13"/>
  <c r="D64" i="13"/>
  <c r="F64" i="13"/>
  <c r="H64" i="13"/>
  <c r="J64" i="13"/>
  <c r="N64" i="13"/>
  <c r="S64" i="13"/>
  <c r="U64" i="13"/>
  <c r="V64" i="13"/>
  <c r="W29" i="14"/>
  <c r="W50" i="14"/>
  <c r="F29" i="15"/>
  <c r="J29" i="15"/>
  <c r="N29" i="15"/>
  <c r="R29" i="15"/>
  <c r="V29" i="15"/>
  <c r="E36" i="15"/>
  <c r="I36" i="15"/>
  <c r="M36" i="15"/>
  <c r="Q36" i="15"/>
  <c r="U36" i="15"/>
  <c r="D43" i="15"/>
  <c r="H43" i="15"/>
  <c r="L43" i="15"/>
  <c r="P43" i="15"/>
  <c r="T43" i="15"/>
  <c r="F29" i="16"/>
  <c r="J29" i="16"/>
  <c r="N29" i="16"/>
  <c r="R29" i="16"/>
  <c r="V29" i="16"/>
  <c r="E36" i="16"/>
  <c r="I36" i="16"/>
  <c r="M36" i="16"/>
  <c r="Q36" i="16"/>
  <c r="U36" i="16"/>
  <c r="D43" i="16"/>
  <c r="H43" i="16"/>
  <c r="L43" i="16"/>
  <c r="P43" i="16"/>
  <c r="T43" i="16"/>
  <c r="D29" i="18"/>
  <c r="E29" i="18"/>
  <c r="H29" i="18"/>
  <c r="I29" i="18"/>
  <c r="L29" i="18"/>
  <c r="M29" i="18"/>
  <c r="P29" i="18"/>
  <c r="D29" i="19"/>
  <c r="E29" i="19"/>
  <c r="F29" i="19"/>
  <c r="H29" i="19"/>
  <c r="I29" i="19"/>
  <c r="L29" i="19"/>
  <c r="P29" i="19"/>
  <c r="F36" i="19"/>
  <c r="J29" i="19"/>
  <c r="K29" i="19"/>
  <c r="P36" i="19"/>
  <c r="D43" i="19"/>
  <c r="F43" i="19"/>
  <c r="J43" i="19"/>
  <c r="L43" i="19"/>
  <c r="D50" i="19"/>
  <c r="L50" i="19"/>
  <c r="N43" i="19"/>
  <c r="P50" i="19"/>
  <c r="H50" i="19"/>
  <c r="J57" i="19"/>
  <c r="P57" i="19"/>
  <c r="F57" i="19"/>
  <c r="J64" i="19"/>
  <c r="N64" i="19"/>
  <c r="E29" i="20"/>
  <c r="F29" i="20"/>
  <c r="G29" i="20"/>
  <c r="I29" i="20"/>
  <c r="J29" i="20"/>
  <c r="M29" i="20"/>
  <c r="N29" i="20"/>
  <c r="O29" i="20"/>
  <c r="C29" i="20"/>
  <c r="C36" i="20"/>
  <c r="E36" i="20"/>
  <c r="G36" i="20"/>
  <c r="H36" i="20"/>
  <c r="I36" i="20"/>
  <c r="K29" i="20"/>
  <c r="K36" i="20"/>
  <c r="M36" i="20"/>
  <c r="O36" i="20"/>
  <c r="G43" i="20"/>
  <c r="O43" i="20"/>
  <c r="C43" i="20"/>
  <c r="C50" i="20"/>
  <c r="D43" i="20"/>
  <c r="E50" i="20"/>
  <c r="G50" i="20"/>
  <c r="I50" i="20"/>
  <c r="K43" i="20"/>
  <c r="K50" i="20"/>
  <c r="M50" i="20"/>
  <c r="O50" i="20"/>
  <c r="P50" i="20"/>
  <c r="G57" i="20"/>
  <c r="O57" i="20"/>
  <c r="C57" i="20"/>
  <c r="C64" i="20"/>
  <c r="E64" i="20"/>
  <c r="G64" i="20"/>
  <c r="H64" i="20"/>
  <c r="I64" i="20"/>
  <c r="K57" i="20"/>
  <c r="K64" i="20"/>
  <c r="L57" i="20"/>
  <c r="M64" i="20"/>
  <c r="O64" i="20"/>
  <c r="Q29" i="20"/>
  <c r="S22" i="20"/>
  <c r="T22" i="20"/>
  <c r="U29" i="20"/>
  <c r="S36" i="20"/>
  <c r="Q43" i="20"/>
  <c r="S43" i="20"/>
  <c r="T43" i="20"/>
  <c r="U43" i="20"/>
  <c r="S50" i="20"/>
  <c r="Q57" i="20"/>
  <c r="S57" i="20"/>
  <c r="U57" i="20"/>
  <c r="S64" i="20"/>
  <c r="C29" i="21"/>
  <c r="G29" i="21"/>
  <c r="S29" i="21"/>
  <c r="C36" i="21"/>
  <c r="O36" i="21"/>
  <c r="S36" i="21"/>
  <c r="K43" i="21"/>
  <c r="O43" i="21"/>
  <c r="G50" i="21"/>
  <c r="K50" i="21"/>
  <c r="C57" i="21"/>
  <c r="G57" i="21"/>
  <c r="S57" i="21"/>
  <c r="C64" i="21"/>
  <c r="O64" i="21"/>
  <c r="S64" i="21"/>
  <c r="E29" i="22"/>
  <c r="M29" i="22"/>
  <c r="N29" i="22"/>
  <c r="D36" i="22"/>
  <c r="H36" i="22"/>
  <c r="M36" i="22"/>
  <c r="N36" i="22"/>
  <c r="T36" i="22"/>
  <c r="D43" i="22"/>
  <c r="E43" i="22"/>
  <c r="P43" i="22"/>
  <c r="T43" i="22"/>
  <c r="E50" i="22"/>
  <c r="L50" i="22"/>
  <c r="P50" i="22"/>
  <c r="Q50" i="22"/>
  <c r="H57" i="22"/>
  <c r="L57" i="22"/>
  <c r="Q57" i="22"/>
  <c r="R57" i="22"/>
  <c r="D64" i="22"/>
  <c r="H64" i="22"/>
  <c r="I64" i="22"/>
  <c r="T64" i="22"/>
  <c r="K29" i="23"/>
  <c r="O29" i="23"/>
  <c r="K36" i="23"/>
  <c r="S36" i="23"/>
  <c r="O43" i="23"/>
  <c r="S50" i="23"/>
  <c r="S43" i="23"/>
  <c r="O50" i="23"/>
  <c r="O57" i="23"/>
  <c r="C64" i="23"/>
  <c r="S64" i="23"/>
  <c r="C29" i="25"/>
  <c r="S29" i="25"/>
  <c r="C36" i="25"/>
  <c r="S36" i="25"/>
  <c r="G43" i="25"/>
  <c r="C50" i="25"/>
  <c r="G50" i="25"/>
  <c r="C57" i="25"/>
  <c r="G57" i="25"/>
  <c r="C64" i="25"/>
  <c r="K64" i="25"/>
  <c r="E29" i="26"/>
  <c r="I29" i="26"/>
  <c r="Q29" i="26"/>
  <c r="U29" i="26"/>
  <c r="P36" i="26"/>
  <c r="T36" i="26"/>
  <c r="J50" i="26"/>
  <c r="N50" i="26"/>
  <c r="R50" i="26"/>
  <c r="E57" i="26"/>
  <c r="I57" i="26"/>
  <c r="U57" i="26"/>
  <c r="D64" i="26"/>
  <c r="T64" i="26"/>
  <c r="C29" i="27"/>
  <c r="G29" i="27"/>
  <c r="K29" i="27"/>
  <c r="O29" i="27"/>
  <c r="S29" i="27"/>
  <c r="D36" i="27"/>
  <c r="H36" i="27"/>
  <c r="L36" i="27"/>
  <c r="P36" i="27"/>
  <c r="T36" i="27"/>
  <c r="E43" i="27"/>
  <c r="I43" i="27"/>
  <c r="M43" i="27"/>
  <c r="Q43" i="27"/>
  <c r="U43" i="27"/>
  <c r="C29" i="28"/>
  <c r="G29" i="28"/>
  <c r="K29" i="28"/>
  <c r="O29" i="28"/>
  <c r="S29" i="28"/>
  <c r="D36" i="28"/>
  <c r="H36" i="28"/>
  <c r="L36" i="28"/>
  <c r="P36" i="28"/>
  <c r="T36" i="28"/>
  <c r="E43" i="28"/>
  <c r="I43" i="28"/>
  <c r="M43" i="28"/>
  <c r="Q43" i="28"/>
  <c r="U43" i="28"/>
  <c r="D29" i="30"/>
  <c r="E29" i="30"/>
  <c r="H29" i="30"/>
  <c r="I29" i="30"/>
  <c r="L29" i="30"/>
  <c r="M29" i="30"/>
  <c r="P29" i="30"/>
  <c r="Q29" i="30"/>
  <c r="T29" i="30"/>
  <c r="U29" i="30"/>
  <c r="X29" i="30"/>
  <c r="C29" i="31"/>
  <c r="D29" i="31"/>
  <c r="E29" i="31"/>
  <c r="G29" i="31"/>
  <c r="H29" i="31"/>
  <c r="I29" i="31"/>
  <c r="K29" i="31"/>
  <c r="L29" i="31"/>
  <c r="O29" i="31"/>
  <c r="P29" i="31"/>
  <c r="S29" i="31"/>
  <c r="T29" i="31"/>
  <c r="U29" i="31"/>
  <c r="W29" i="31"/>
  <c r="C36" i="31"/>
  <c r="D36" i="31"/>
  <c r="F36" i="31"/>
  <c r="G36" i="31"/>
  <c r="J36" i="31"/>
  <c r="K36" i="31"/>
  <c r="N36" i="31"/>
  <c r="O36" i="31"/>
  <c r="P36" i="31"/>
  <c r="R36" i="31"/>
  <c r="S36" i="31"/>
  <c r="T36" i="31"/>
  <c r="V36" i="31"/>
  <c r="E43" i="31"/>
  <c r="F43" i="31"/>
  <c r="I43" i="31"/>
  <c r="J43" i="31"/>
  <c r="K43" i="31"/>
  <c r="M43" i="31"/>
  <c r="N43" i="31"/>
  <c r="O43" i="31"/>
  <c r="P43" i="31"/>
  <c r="Q43" i="31"/>
  <c r="U43" i="31"/>
  <c r="V43" i="31"/>
  <c r="D43" i="31"/>
  <c r="H50" i="31"/>
  <c r="I50" i="31"/>
  <c r="L50" i="31"/>
  <c r="N50" i="31"/>
  <c r="P50" i="31"/>
  <c r="C57" i="31"/>
  <c r="G57" i="31"/>
  <c r="I57" i="31"/>
  <c r="K57" i="31"/>
  <c r="O57" i="31"/>
  <c r="S57" i="31"/>
  <c r="G64" i="31"/>
  <c r="O64" i="31"/>
  <c r="W64" i="31"/>
  <c r="C29" i="32"/>
  <c r="E29" i="32"/>
  <c r="K29" i="32"/>
  <c r="M29" i="32"/>
  <c r="N29" i="32"/>
  <c r="S29" i="32"/>
  <c r="U29" i="32"/>
  <c r="H36" i="32"/>
  <c r="P36" i="32"/>
  <c r="C43" i="32"/>
  <c r="K43" i="32"/>
  <c r="S43" i="32"/>
  <c r="G50" i="32"/>
  <c r="O50" i="32"/>
  <c r="D29" i="33"/>
  <c r="H29" i="33"/>
  <c r="L29" i="33"/>
  <c r="P29" i="33"/>
  <c r="T29" i="33"/>
  <c r="C36" i="33"/>
  <c r="G36" i="33"/>
  <c r="K36" i="33"/>
  <c r="O36" i="33"/>
  <c r="S36" i="33"/>
  <c r="W36" i="33"/>
  <c r="F43" i="33"/>
  <c r="J43" i="33"/>
  <c r="R43" i="33"/>
  <c r="V43" i="33"/>
  <c r="X36" i="33"/>
  <c r="L36" i="34"/>
  <c r="J29" i="34"/>
  <c r="N29" i="34"/>
  <c r="N50" i="4"/>
  <c r="K57" i="4"/>
  <c r="D64" i="4"/>
  <c r="L29" i="14"/>
  <c r="D36" i="14"/>
  <c r="P36" i="14"/>
  <c r="C50" i="15"/>
  <c r="K50" i="15"/>
  <c r="K36" i="18"/>
  <c r="I43" i="18"/>
  <c r="G50" i="18"/>
  <c r="E57" i="18"/>
  <c r="C64" i="18"/>
  <c r="O64" i="18"/>
  <c r="M64" i="18"/>
  <c r="C36" i="19"/>
  <c r="O29" i="19"/>
  <c r="C50" i="19"/>
  <c r="O50" i="19"/>
  <c r="G64" i="19"/>
  <c r="O64" i="19"/>
  <c r="O57" i="19"/>
  <c r="M64" i="19"/>
  <c r="O36" i="19"/>
  <c r="L36" i="20"/>
  <c r="J43" i="20"/>
  <c r="H43" i="20"/>
  <c r="F57" i="20"/>
  <c r="D64" i="20"/>
  <c r="P57" i="20"/>
  <c r="R36" i="20"/>
  <c r="R50" i="20"/>
  <c r="V64" i="20"/>
  <c r="J50" i="27"/>
  <c r="C57" i="27"/>
  <c r="O57" i="27"/>
  <c r="H64" i="27"/>
  <c r="T64" i="27"/>
  <c r="J50" i="28"/>
  <c r="R50" i="28"/>
  <c r="O57" i="28"/>
  <c r="H64" i="28"/>
  <c r="T64" i="28"/>
  <c r="N36" i="30"/>
  <c r="D43" i="30"/>
  <c r="P43" i="30"/>
  <c r="X43" i="30"/>
  <c r="N50" i="30"/>
  <c r="N43" i="30"/>
  <c r="H57" i="30"/>
  <c r="T57" i="30"/>
  <c r="G43" i="13"/>
  <c r="G50" i="13"/>
  <c r="C57" i="13"/>
  <c r="G64" i="13"/>
  <c r="E29" i="14"/>
  <c r="I29" i="14"/>
  <c r="M29" i="14"/>
  <c r="Q29" i="14"/>
  <c r="U29" i="14"/>
  <c r="E36" i="14"/>
  <c r="I36" i="14"/>
  <c r="M36" i="14"/>
  <c r="Q36" i="14"/>
  <c r="U36" i="14"/>
  <c r="E43" i="14"/>
  <c r="I43" i="14"/>
  <c r="M43" i="14"/>
  <c r="Q43" i="14"/>
  <c r="U43" i="14"/>
  <c r="E50" i="14"/>
  <c r="I50" i="14"/>
  <c r="M50" i="14"/>
  <c r="Q50" i="14"/>
  <c r="U50" i="14"/>
  <c r="E57" i="14"/>
  <c r="I57" i="14"/>
  <c r="M57" i="14"/>
  <c r="Q57" i="14"/>
  <c r="U57" i="14"/>
  <c r="E64" i="14"/>
  <c r="I64" i="14"/>
  <c r="M64" i="14"/>
  <c r="Q64" i="14"/>
  <c r="U64" i="14"/>
  <c r="L29" i="20"/>
  <c r="F29" i="22"/>
  <c r="J29" i="22"/>
  <c r="R29" i="22"/>
  <c r="V29" i="22"/>
  <c r="F36" i="22"/>
  <c r="J36" i="22"/>
  <c r="R36" i="22"/>
  <c r="V36" i="22"/>
  <c r="F43" i="22"/>
  <c r="J43" i="22"/>
  <c r="N43" i="22"/>
  <c r="R43" i="22"/>
  <c r="V43" i="22"/>
  <c r="F50" i="22"/>
  <c r="J50" i="22"/>
  <c r="N50" i="22"/>
  <c r="R50" i="22"/>
  <c r="V50" i="22"/>
  <c r="F57" i="22"/>
  <c r="J57" i="22"/>
  <c r="N57" i="22"/>
  <c r="V57" i="22"/>
  <c r="F64" i="22"/>
  <c r="J64" i="22"/>
  <c r="N64" i="22"/>
  <c r="R64" i="22"/>
  <c r="V64" i="22"/>
  <c r="F29" i="23"/>
  <c r="J29" i="23"/>
  <c r="N29" i="23"/>
  <c r="R29" i="23"/>
  <c r="V29" i="23"/>
  <c r="S57" i="4"/>
  <c r="T64" i="4"/>
  <c r="H29" i="14"/>
  <c r="T29" i="14"/>
  <c r="L36" i="14"/>
  <c r="D43" i="14"/>
  <c r="O50" i="15"/>
  <c r="C29" i="18"/>
  <c r="O29" i="18"/>
  <c r="M36" i="18"/>
  <c r="K43" i="18"/>
  <c r="I57" i="18"/>
  <c r="G64" i="18"/>
  <c r="E64" i="18"/>
  <c r="G36" i="19"/>
  <c r="G29" i="19"/>
  <c r="I36" i="19"/>
  <c r="G50" i="19"/>
  <c r="E57" i="19"/>
  <c r="C64" i="19"/>
  <c r="C57" i="19"/>
  <c r="E64" i="19"/>
  <c r="C29" i="19"/>
  <c r="H29" i="20"/>
  <c r="P29" i="20"/>
  <c r="N43" i="20"/>
  <c r="L50" i="20"/>
  <c r="J57" i="20"/>
  <c r="H57" i="20"/>
  <c r="V36" i="20"/>
  <c r="V50" i="20"/>
  <c r="R64" i="20"/>
  <c r="F50" i="27"/>
  <c r="R50" i="27"/>
  <c r="K57" i="27"/>
  <c r="D64" i="27"/>
  <c r="P64" i="27"/>
  <c r="N50" i="28"/>
  <c r="G57" i="28"/>
  <c r="S57" i="28"/>
  <c r="L64" i="28"/>
  <c r="J36" i="30"/>
  <c r="V36" i="30"/>
  <c r="L43" i="30"/>
  <c r="F50" i="30"/>
  <c r="R50" i="30"/>
  <c r="R43" i="30"/>
  <c r="D57" i="30"/>
  <c r="L57" i="30"/>
  <c r="C43" i="13"/>
  <c r="S43" i="13"/>
  <c r="S50" i="13"/>
  <c r="C29" i="4"/>
  <c r="F36" i="4"/>
  <c r="G36" i="4"/>
  <c r="S43" i="4"/>
  <c r="H50" i="4"/>
  <c r="T50" i="4"/>
  <c r="I57" i="4"/>
  <c r="M57" i="4"/>
  <c r="Q57" i="4"/>
  <c r="U57" i="4"/>
  <c r="F64" i="4"/>
  <c r="N64" i="4"/>
  <c r="D36" i="13"/>
  <c r="H36" i="13"/>
  <c r="D50" i="13"/>
  <c r="H50" i="13"/>
  <c r="I43" i="13"/>
  <c r="U43" i="13"/>
  <c r="F29" i="14"/>
  <c r="J29" i="14"/>
  <c r="N29" i="14"/>
  <c r="R29" i="14"/>
  <c r="V29" i="14"/>
  <c r="I43" i="19"/>
  <c r="D29" i="21"/>
  <c r="H29" i="21"/>
  <c r="L29" i="21"/>
  <c r="P29" i="21"/>
  <c r="T29" i="21"/>
  <c r="D36" i="21"/>
  <c r="H36" i="21"/>
  <c r="L36" i="21"/>
  <c r="P36" i="21"/>
  <c r="T36" i="21"/>
  <c r="D43" i="21"/>
  <c r="H43" i="21"/>
  <c r="L43" i="21"/>
  <c r="P43" i="21"/>
  <c r="T43" i="21"/>
  <c r="D50" i="21"/>
  <c r="H50" i="21"/>
  <c r="L50" i="21"/>
  <c r="P50" i="21"/>
  <c r="T50" i="21"/>
  <c r="D57" i="21"/>
  <c r="H57" i="21"/>
  <c r="L57" i="21"/>
  <c r="P57" i="21"/>
  <c r="T57" i="21"/>
  <c r="D64" i="21"/>
  <c r="H64" i="21"/>
  <c r="L64" i="21"/>
  <c r="P64" i="21"/>
  <c r="T64" i="21"/>
  <c r="F50" i="4"/>
  <c r="G57" i="4"/>
  <c r="H64" i="4"/>
  <c r="D29" i="14"/>
  <c r="P29" i="14"/>
  <c r="H36" i="14"/>
  <c r="T36" i="14"/>
  <c r="G50" i="15"/>
  <c r="S50" i="15"/>
  <c r="G36" i="18"/>
  <c r="E43" i="18"/>
  <c r="C50" i="18"/>
  <c r="O50" i="18"/>
  <c r="M50" i="18"/>
  <c r="K64" i="18"/>
  <c r="I64" i="18"/>
  <c r="K36" i="19"/>
  <c r="E36" i="19"/>
  <c r="E43" i="19"/>
  <c r="K50" i="19"/>
  <c r="I57" i="19"/>
  <c r="K64" i="19"/>
  <c r="K57" i="19"/>
  <c r="I64" i="19"/>
  <c r="D36" i="20"/>
  <c r="F43" i="20"/>
  <c r="D50" i="20"/>
  <c r="P43" i="20"/>
  <c r="N57" i="20"/>
  <c r="L64" i="20"/>
  <c r="T36" i="20"/>
  <c r="T50" i="20"/>
  <c r="T64" i="20"/>
  <c r="N50" i="27"/>
  <c r="G57" i="27"/>
  <c r="S57" i="27"/>
  <c r="L64" i="27"/>
  <c r="F50" i="28"/>
  <c r="C57" i="28"/>
  <c r="K57" i="28"/>
  <c r="D64" i="28"/>
  <c r="P64" i="28"/>
  <c r="F36" i="30"/>
  <c r="R36" i="30"/>
  <c r="H43" i="30"/>
  <c r="T43" i="30"/>
  <c r="J50" i="30"/>
  <c r="V50" i="30"/>
  <c r="P57" i="30"/>
  <c r="S29" i="13"/>
  <c r="G57" i="13"/>
  <c r="O64" i="13"/>
  <c r="C64" i="4"/>
  <c r="N36" i="4"/>
  <c r="K43" i="4"/>
  <c r="D50" i="4"/>
  <c r="E57" i="4"/>
  <c r="F29" i="4"/>
  <c r="J29" i="4"/>
  <c r="N29" i="4"/>
  <c r="R29" i="4"/>
  <c r="V29" i="4"/>
  <c r="C43" i="4"/>
  <c r="K36" i="4"/>
  <c r="S36" i="4"/>
  <c r="D43" i="4"/>
  <c r="H43" i="4"/>
  <c r="L43" i="4"/>
  <c r="T43" i="4"/>
  <c r="E50" i="4"/>
  <c r="I50" i="4"/>
  <c r="M50" i="4"/>
  <c r="Q50" i="4"/>
  <c r="U50" i="4"/>
  <c r="F57" i="4"/>
  <c r="J57" i="4"/>
  <c r="N57" i="4"/>
  <c r="G64" i="4"/>
  <c r="K64" i="4"/>
  <c r="S64" i="4"/>
  <c r="M43" i="13"/>
  <c r="E57" i="13"/>
  <c r="M57" i="13"/>
  <c r="U57" i="13"/>
  <c r="E64" i="13"/>
  <c r="I64" i="13"/>
  <c r="G57" i="19"/>
  <c r="D29" i="20"/>
  <c r="T29" i="20"/>
  <c r="P36" i="20"/>
  <c r="L43" i="20"/>
  <c r="H50" i="20"/>
  <c r="D57" i="20"/>
  <c r="T57" i="20"/>
  <c r="P64" i="20"/>
  <c r="F57" i="15"/>
  <c r="N57" i="15"/>
  <c r="V57" i="15"/>
  <c r="I64" i="15"/>
  <c r="Q64" i="15"/>
  <c r="C50" i="16"/>
  <c r="K50" i="16"/>
  <c r="S50" i="16"/>
  <c r="F57" i="16"/>
  <c r="N57" i="16"/>
  <c r="V57" i="16"/>
  <c r="I64" i="16"/>
  <c r="Q64" i="16"/>
  <c r="F22" i="16"/>
  <c r="D29" i="27"/>
  <c r="H29" i="27"/>
  <c r="L29" i="27"/>
  <c r="P29" i="27"/>
  <c r="T29" i="27"/>
  <c r="E36" i="27"/>
  <c r="I36" i="27"/>
  <c r="M36" i="27"/>
  <c r="Q36" i="27"/>
  <c r="U36" i="27"/>
  <c r="F43" i="27"/>
  <c r="J43" i="27"/>
  <c r="N43" i="27"/>
  <c r="R43" i="27"/>
  <c r="C50" i="27"/>
  <c r="G50" i="27"/>
  <c r="K50" i="27"/>
  <c r="O50" i="27"/>
  <c r="S50" i="27"/>
  <c r="D57" i="27"/>
  <c r="H57" i="27"/>
  <c r="L57" i="27"/>
  <c r="P57" i="27"/>
  <c r="T57" i="27"/>
  <c r="E64" i="27"/>
  <c r="I64" i="27"/>
  <c r="M64" i="27"/>
  <c r="Q64" i="27"/>
  <c r="U64" i="27"/>
  <c r="D29" i="28"/>
  <c r="H29" i="28"/>
  <c r="L29" i="28"/>
  <c r="P29" i="28"/>
  <c r="T29" i="28"/>
  <c r="E36" i="28"/>
  <c r="I36" i="28"/>
  <c r="M36" i="28"/>
  <c r="Q36" i="28"/>
  <c r="U36" i="28"/>
  <c r="F43" i="28"/>
  <c r="J43" i="28"/>
  <c r="N43" i="28"/>
  <c r="R43" i="28"/>
  <c r="C50" i="28"/>
  <c r="G50" i="28"/>
  <c r="K50" i="28"/>
  <c r="O50" i="28"/>
  <c r="S50" i="28"/>
  <c r="D57" i="28"/>
  <c r="H57" i="28"/>
  <c r="L57" i="28"/>
  <c r="P57" i="28"/>
  <c r="T57" i="28"/>
  <c r="E64" i="28"/>
  <c r="I64" i="28"/>
  <c r="M64" i="28"/>
  <c r="Q64" i="28"/>
  <c r="U64" i="28"/>
  <c r="C36" i="30"/>
  <c r="G29" i="30"/>
  <c r="K36" i="30"/>
  <c r="O36" i="30"/>
  <c r="S29" i="30"/>
  <c r="W36" i="30"/>
  <c r="E43" i="30"/>
  <c r="I43" i="30"/>
  <c r="M43" i="30"/>
  <c r="W50" i="15"/>
  <c r="J57" i="15"/>
  <c r="R57" i="15"/>
  <c r="E64" i="15"/>
  <c r="M64" i="15"/>
  <c r="U64" i="15"/>
  <c r="G50" i="16"/>
  <c r="O50" i="16"/>
  <c r="W50" i="16"/>
  <c r="J57" i="16"/>
  <c r="R57" i="16"/>
  <c r="E64" i="16"/>
  <c r="M64" i="16"/>
  <c r="U64" i="16"/>
  <c r="S22" i="4"/>
  <c r="D29" i="4"/>
  <c r="H29" i="4"/>
  <c r="T29" i="4"/>
  <c r="C57" i="4"/>
  <c r="E36" i="4"/>
  <c r="I36" i="4"/>
  <c r="M36" i="4"/>
  <c r="Q36" i="4"/>
  <c r="U36" i="4"/>
  <c r="F43" i="4"/>
  <c r="N43" i="4"/>
  <c r="G50" i="4"/>
  <c r="K50" i="4"/>
  <c r="S50" i="4"/>
  <c r="D57" i="4"/>
  <c r="H57" i="4"/>
  <c r="T57" i="4"/>
  <c r="E64" i="4"/>
  <c r="I64" i="4"/>
  <c r="M64" i="4"/>
  <c r="Q64" i="4"/>
  <c r="U64" i="4"/>
  <c r="R50" i="13"/>
  <c r="R64" i="13"/>
  <c r="W43" i="14"/>
  <c r="C29" i="15"/>
  <c r="G29" i="15"/>
  <c r="K29" i="15"/>
  <c r="S29" i="15"/>
  <c r="W29" i="15"/>
  <c r="F36" i="15"/>
  <c r="J36" i="15"/>
  <c r="N36" i="15"/>
  <c r="R36" i="15"/>
  <c r="V36" i="15"/>
  <c r="E43" i="15"/>
  <c r="I43" i="15"/>
  <c r="M43" i="15"/>
  <c r="Q43" i="15"/>
  <c r="U43" i="15"/>
  <c r="D50" i="15"/>
  <c r="H50" i="15"/>
  <c r="L50" i="15"/>
  <c r="P50" i="15"/>
  <c r="T50" i="15"/>
  <c r="C57" i="15"/>
  <c r="G57" i="15"/>
  <c r="K57" i="15"/>
  <c r="O57" i="15"/>
  <c r="S57" i="15"/>
  <c r="W57" i="15"/>
  <c r="F64" i="15"/>
  <c r="J64" i="15"/>
  <c r="N64" i="15"/>
  <c r="R64" i="15"/>
  <c r="V64" i="15"/>
  <c r="C29" i="16"/>
  <c r="G29" i="16"/>
  <c r="K29" i="16"/>
  <c r="O29" i="16"/>
  <c r="S29" i="16"/>
  <c r="W29" i="16"/>
  <c r="F36" i="16"/>
  <c r="J36" i="16"/>
  <c r="N36" i="16"/>
  <c r="R36" i="16"/>
  <c r="V36" i="16"/>
  <c r="E43" i="16"/>
  <c r="I43" i="16"/>
  <c r="M43" i="16"/>
  <c r="Q43" i="16"/>
  <c r="U43" i="16"/>
  <c r="D50" i="16"/>
  <c r="H50" i="16"/>
  <c r="L50" i="16"/>
  <c r="P50" i="16"/>
  <c r="T50" i="16"/>
  <c r="C57" i="16"/>
  <c r="G57" i="16"/>
  <c r="K57" i="16"/>
  <c r="O57" i="16"/>
  <c r="S57" i="16"/>
  <c r="W57" i="16"/>
  <c r="F64" i="16"/>
  <c r="J64" i="16"/>
  <c r="N64" i="16"/>
  <c r="R64" i="16"/>
  <c r="V64" i="16"/>
  <c r="J22" i="16"/>
  <c r="C43" i="19"/>
  <c r="G43" i="19"/>
  <c r="K43" i="19"/>
  <c r="O43" i="19"/>
  <c r="E50" i="19"/>
  <c r="I50" i="19"/>
  <c r="J36" i="19"/>
  <c r="F64" i="19"/>
  <c r="F36" i="20"/>
  <c r="J36" i="20"/>
  <c r="N36" i="20"/>
  <c r="F50" i="20"/>
  <c r="J50" i="20"/>
  <c r="N50" i="20"/>
  <c r="F64" i="20"/>
  <c r="J64" i="20"/>
  <c r="N64" i="20"/>
  <c r="R29" i="20"/>
  <c r="V29" i="20"/>
  <c r="R43" i="20"/>
  <c r="V43" i="20"/>
  <c r="R57" i="20"/>
  <c r="V57" i="20"/>
  <c r="H43" i="14"/>
  <c r="L43" i="14"/>
  <c r="P43" i="14"/>
  <c r="T43" i="14"/>
  <c r="D50" i="14"/>
  <c r="H50" i="14"/>
  <c r="L50" i="14"/>
  <c r="P50" i="14"/>
  <c r="T50" i="14"/>
  <c r="D57" i="14"/>
  <c r="H57" i="14"/>
  <c r="L57" i="14"/>
  <c r="P57" i="14"/>
  <c r="T57" i="14"/>
  <c r="D64" i="14"/>
  <c r="H64" i="14"/>
  <c r="L64" i="14"/>
  <c r="P64" i="14"/>
  <c r="T64" i="14"/>
  <c r="W36" i="14"/>
  <c r="V22" i="16"/>
  <c r="F36" i="18"/>
  <c r="J36" i="18"/>
  <c r="N36" i="18"/>
  <c r="D43" i="18"/>
  <c r="H43" i="18"/>
  <c r="L43" i="18"/>
  <c r="P43" i="18"/>
  <c r="F50" i="18"/>
  <c r="J50" i="18"/>
  <c r="N50" i="18"/>
  <c r="D57" i="18"/>
  <c r="H57" i="18"/>
  <c r="L57" i="18"/>
  <c r="P57" i="18"/>
  <c r="F64" i="18"/>
  <c r="J64" i="18"/>
  <c r="N64" i="18"/>
  <c r="N29" i="19"/>
  <c r="D36" i="19"/>
  <c r="H36" i="19"/>
  <c r="L36" i="19"/>
  <c r="P43" i="19"/>
  <c r="F50" i="19"/>
  <c r="J50" i="19"/>
  <c r="N50" i="19"/>
  <c r="D57" i="19"/>
  <c r="H57" i="19"/>
  <c r="L57" i="19"/>
  <c r="N57" i="19"/>
  <c r="D64" i="19"/>
  <c r="H64" i="19"/>
  <c r="L64" i="19"/>
  <c r="P64" i="19"/>
  <c r="N36" i="19"/>
  <c r="H43" i="19"/>
  <c r="E43" i="20"/>
  <c r="I43" i="20"/>
  <c r="M43" i="20"/>
  <c r="E57" i="20"/>
  <c r="I57" i="20"/>
  <c r="M57" i="20"/>
  <c r="Q36" i="20"/>
  <c r="U36" i="20"/>
  <c r="Q50" i="20"/>
  <c r="U50" i="20"/>
  <c r="Q64" i="20"/>
  <c r="U64" i="20"/>
  <c r="S29" i="20"/>
  <c r="K29" i="21"/>
  <c r="O29" i="21"/>
  <c r="G36" i="21"/>
  <c r="K36" i="21"/>
  <c r="C43" i="21"/>
  <c r="G43" i="21"/>
  <c r="S43" i="21"/>
  <c r="C50" i="21"/>
  <c r="O50" i="21"/>
  <c r="S50" i="21"/>
  <c r="K57" i="21"/>
  <c r="O57" i="21"/>
  <c r="G64" i="21"/>
  <c r="K64" i="21"/>
  <c r="I29" i="22"/>
  <c r="Q29" i="22"/>
  <c r="U29" i="22"/>
  <c r="E36" i="22"/>
  <c r="I36" i="22"/>
  <c r="Q36" i="22"/>
  <c r="U36" i="22"/>
  <c r="I43" i="22"/>
  <c r="M43" i="22"/>
  <c r="Q43" i="22"/>
  <c r="U43" i="22"/>
  <c r="I50" i="22"/>
  <c r="M50" i="22"/>
  <c r="U50" i="22"/>
  <c r="E57" i="22"/>
  <c r="I57" i="22"/>
  <c r="M57" i="22"/>
  <c r="U57" i="22"/>
  <c r="E64" i="22"/>
  <c r="M64" i="22"/>
  <c r="Q64" i="22"/>
  <c r="U64" i="22"/>
  <c r="E29" i="23"/>
  <c r="I29" i="23"/>
  <c r="M29" i="23"/>
  <c r="Q29" i="23"/>
  <c r="U29" i="23"/>
  <c r="E36" i="23"/>
  <c r="I36" i="23"/>
  <c r="M36" i="23"/>
  <c r="Q36" i="23"/>
  <c r="U36" i="23"/>
  <c r="E43" i="23"/>
  <c r="I43" i="23"/>
  <c r="M43" i="23"/>
  <c r="Q43" i="23"/>
  <c r="U43" i="23"/>
  <c r="E50" i="23"/>
  <c r="I50" i="23"/>
  <c r="M50" i="23"/>
  <c r="Q50" i="23"/>
  <c r="U50" i="23"/>
  <c r="E57" i="23"/>
  <c r="I57" i="23"/>
  <c r="M57" i="23"/>
  <c r="Q57" i="23"/>
  <c r="U57" i="23"/>
  <c r="E64" i="23"/>
  <c r="I64" i="23"/>
  <c r="M64" i="23"/>
  <c r="Q64" i="23"/>
  <c r="U64" i="23"/>
  <c r="F36" i="14"/>
  <c r="J36" i="14"/>
  <c r="N36" i="14"/>
  <c r="R36" i="14"/>
  <c r="V36" i="14"/>
  <c r="F43" i="14"/>
  <c r="J43" i="14"/>
  <c r="N43" i="14"/>
  <c r="R43" i="14"/>
  <c r="V43" i="14"/>
  <c r="F50" i="14"/>
  <c r="J50" i="14"/>
  <c r="N50" i="14"/>
  <c r="R50" i="14"/>
  <c r="V50" i="14"/>
  <c r="F57" i="14"/>
  <c r="J57" i="14"/>
  <c r="N57" i="14"/>
  <c r="R57" i="14"/>
  <c r="V57" i="14"/>
  <c r="F64" i="14"/>
  <c r="J64" i="14"/>
  <c r="N64" i="14"/>
  <c r="R64" i="14"/>
  <c r="V64" i="14"/>
  <c r="W57" i="14"/>
  <c r="D29" i="15"/>
  <c r="H29" i="15"/>
  <c r="L29" i="15"/>
  <c r="P29" i="15"/>
  <c r="T29" i="15"/>
  <c r="C36" i="15"/>
  <c r="G36" i="15"/>
  <c r="K36" i="15"/>
  <c r="O36" i="15"/>
  <c r="S36" i="15"/>
  <c r="W36" i="15"/>
  <c r="F43" i="15"/>
  <c r="J43" i="15"/>
  <c r="N43" i="15"/>
  <c r="R43" i="15"/>
  <c r="V43" i="15"/>
  <c r="E50" i="15"/>
  <c r="I50" i="15"/>
  <c r="M50" i="15"/>
  <c r="Q50" i="15"/>
  <c r="U50" i="15"/>
  <c r="D57" i="15"/>
  <c r="H57" i="15"/>
  <c r="L57" i="15"/>
  <c r="P57" i="15"/>
  <c r="T57" i="15"/>
  <c r="C64" i="15"/>
  <c r="G64" i="15"/>
  <c r="K64" i="15"/>
  <c r="O64" i="15"/>
  <c r="S64" i="15"/>
  <c r="W64" i="15"/>
  <c r="D29" i="16"/>
  <c r="H29" i="16"/>
  <c r="L29" i="16"/>
  <c r="P29" i="16"/>
  <c r="T29" i="16"/>
  <c r="C36" i="16"/>
  <c r="G36" i="16"/>
  <c r="K36" i="16"/>
  <c r="O36" i="16"/>
  <c r="S36" i="16"/>
  <c r="W36" i="16"/>
  <c r="F43" i="16"/>
  <c r="J43" i="16"/>
  <c r="N43" i="16"/>
  <c r="R43" i="16"/>
  <c r="V43" i="16"/>
  <c r="E50" i="16"/>
  <c r="I50" i="16"/>
  <c r="M50" i="16"/>
  <c r="Q50" i="16"/>
  <c r="U50" i="16"/>
  <c r="D57" i="16"/>
  <c r="H57" i="16"/>
  <c r="L57" i="16"/>
  <c r="P57" i="16"/>
  <c r="T57" i="16"/>
  <c r="C64" i="16"/>
  <c r="G64" i="16"/>
  <c r="K64" i="16"/>
  <c r="O64" i="16"/>
  <c r="S64" i="16"/>
  <c r="W64" i="16"/>
  <c r="D22" i="18"/>
  <c r="H22" i="18"/>
  <c r="L22" i="18"/>
  <c r="P22" i="18"/>
  <c r="F29" i="18"/>
  <c r="J29" i="18"/>
  <c r="N29" i="18"/>
  <c r="D36" i="18"/>
  <c r="H36" i="18"/>
  <c r="L36" i="18"/>
  <c r="P36" i="18"/>
  <c r="F43" i="18"/>
  <c r="J43" i="18"/>
  <c r="N43" i="18"/>
  <c r="D50" i="18"/>
  <c r="H50" i="18"/>
  <c r="L50" i="18"/>
  <c r="P50" i="18"/>
  <c r="F57" i="18"/>
  <c r="J57" i="18"/>
  <c r="N57" i="18"/>
  <c r="D64" i="18"/>
  <c r="H64" i="18"/>
  <c r="L64" i="18"/>
  <c r="P64" i="18"/>
  <c r="D22" i="19"/>
  <c r="H22" i="19"/>
  <c r="L22" i="19"/>
  <c r="P22" i="19"/>
  <c r="E22" i="20"/>
  <c r="I22" i="20"/>
  <c r="M22" i="20"/>
  <c r="E29" i="21"/>
  <c r="I29" i="21"/>
  <c r="M29" i="21"/>
  <c r="Q29" i="21"/>
  <c r="U29" i="21"/>
  <c r="E36" i="21"/>
  <c r="I36" i="21"/>
  <c r="M36" i="21"/>
  <c r="Q36" i="21"/>
  <c r="U36" i="21"/>
  <c r="E43" i="21"/>
  <c r="I43" i="21"/>
  <c r="M43" i="21"/>
  <c r="Q43" i="21"/>
  <c r="U43" i="21"/>
  <c r="E50" i="21"/>
  <c r="I50" i="21"/>
  <c r="M50" i="21"/>
  <c r="Q50" i="21"/>
  <c r="U50" i="21"/>
  <c r="E57" i="21"/>
  <c r="I57" i="21"/>
  <c r="M57" i="21"/>
  <c r="Q57" i="21"/>
  <c r="U57" i="21"/>
  <c r="E64" i="21"/>
  <c r="I64" i="21"/>
  <c r="M64" i="21"/>
  <c r="Q64" i="21"/>
  <c r="U64" i="21"/>
  <c r="C29" i="22"/>
  <c r="G29" i="22"/>
  <c r="K29" i="22"/>
  <c r="O29" i="22"/>
  <c r="S29" i="22"/>
  <c r="C36" i="22"/>
  <c r="G36" i="22"/>
  <c r="K36" i="22"/>
  <c r="O36" i="22"/>
  <c r="S36" i="22"/>
  <c r="C43" i="22"/>
  <c r="G43" i="22"/>
  <c r="K43" i="22"/>
  <c r="O43" i="22"/>
  <c r="S43" i="22"/>
  <c r="C50" i="22"/>
  <c r="G50" i="22"/>
  <c r="K50" i="22"/>
  <c r="O50" i="22"/>
  <c r="S50" i="22"/>
  <c r="C57" i="22"/>
  <c r="G57" i="22"/>
  <c r="K57" i="22"/>
  <c r="O57" i="22"/>
  <c r="S57" i="22"/>
  <c r="C64" i="22"/>
  <c r="G64" i="22"/>
  <c r="K64" i="22"/>
  <c r="O64" i="22"/>
  <c r="S64" i="22"/>
  <c r="C29" i="23"/>
  <c r="G29" i="23"/>
  <c r="S29" i="23"/>
  <c r="C36" i="23"/>
  <c r="G36" i="23"/>
  <c r="O36" i="23"/>
  <c r="C43" i="23"/>
  <c r="G43" i="23"/>
  <c r="K43" i="23"/>
  <c r="C50" i="23"/>
  <c r="G50" i="23"/>
  <c r="K50" i="23"/>
  <c r="C57" i="23"/>
  <c r="G57" i="23"/>
  <c r="K57" i="23"/>
  <c r="S57" i="23"/>
  <c r="G64" i="23"/>
  <c r="K64" i="23"/>
  <c r="O64" i="23"/>
  <c r="F29" i="24"/>
  <c r="J29" i="24"/>
  <c r="N29" i="24"/>
  <c r="R29" i="24"/>
  <c r="V29" i="24"/>
  <c r="F36" i="24"/>
  <c r="J36" i="24"/>
  <c r="N36" i="24"/>
  <c r="R36" i="24"/>
  <c r="V36" i="24"/>
  <c r="F43" i="24"/>
  <c r="J43" i="24"/>
  <c r="N43" i="24"/>
  <c r="R43" i="24"/>
  <c r="V43" i="24"/>
  <c r="F50" i="24"/>
  <c r="J50" i="24"/>
  <c r="N50" i="24"/>
  <c r="R50" i="24"/>
  <c r="V50" i="24"/>
  <c r="F57" i="24"/>
  <c r="J57" i="24"/>
  <c r="N57" i="24"/>
  <c r="R57" i="24"/>
  <c r="V57" i="24"/>
  <c r="F64" i="24"/>
  <c r="J64" i="24"/>
  <c r="N64" i="24"/>
  <c r="R64" i="24"/>
  <c r="V64" i="24"/>
  <c r="F29" i="25"/>
  <c r="J29" i="25"/>
  <c r="N29" i="25"/>
  <c r="R29" i="25"/>
  <c r="V29" i="25"/>
  <c r="F36" i="25"/>
  <c r="J36" i="25"/>
  <c r="N36" i="25"/>
  <c r="R36" i="25"/>
  <c r="V36" i="25"/>
  <c r="F43" i="25"/>
  <c r="J43" i="25"/>
  <c r="N43" i="25"/>
  <c r="R43" i="25"/>
  <c r="V43" i="25"/>
  <c r="F50" i="25"/>
  <c r="J50" i="25"/>
  <c r="N50" i="25"/>
  <c r="R50" i="25"/>
  <c r="V50" i="25"/>
  <c r="F57" i="25"/>
  <c r="J57" i="25"/>
  <c r="N57" i="25"/>
  <c r="R57" i="25"/>
  <c r="V57" i="25"/>
  <c r="F64" i="25"/>
  <c r="J64" i="25"/>
  <c r="N64" i="25"/>
  <c r="R64" i="25"/>
  <c r="V64" i="25"/>
  <c r="C29" i="14"/>
  <c r="G29" i="14"/>
  <c r="K29" i="14"/>
  <c r="O29" i="14"/>
  <c r="S29" i="14"/>
  <c r="C36" i="14"/>
  <c r="G36" i="14"/>
  <c r="K36" i="14"/>
  <c r="O36" i="14"/>
  <c r="S36" i="14"/>
  <c r="C43" i="14"/>
  <c r="G43" i="14"/>
  <c r="K43" i="14"/>
  <c r="O43" i="14"/>
  <c r="S43" i="14"/>
  <c r="C50" i="14"/>
  <c r="G50" i="14"/>
  <c r="K50" i="14"/>
  <c r="O50" i="14"/>
  <c r="S50" i="14"/>
  <c r="C57" i="14"/>
  <c r="G57" i="14"/>
  <c r="K57" i="14"/>
  <c r="O57" i="14"/>
  <c r="S57" i="14"/>
  <c r="C64" i="14"/>
  <c r="G64" i="14"/>
  <c r="K64" i="14"/>
  <c r="O64" i="14"/>
  <c r="S64" i="14"/>
  <c r="W64" i="14"/>
  <c r="F22" i="15"/>
  <c r="J22" i="15"/>
  <c r="N22" i="15"/>
  <c r="R22" i="15"/>
  <c r="V22" i="15"/>
  <c r="E22" i="19"/>
  <c r="I22" i="19"/>
  <c r="M22" i="19"/>
  <c r="F22" i="20"/>
  <c r="J22" i="20"/>
  <c r="N22" i="20"/>
  <c r="F29" i="21"/>
  <c r="J29" i="21"/>
  <c r="N29" i="21"/>
  <c r="R29" i="21"/>
  <c r="V29" i="21"/>
  <c r="F36" i="21"/>
  <c r="J36" i="21"/>
  <c r="N36" i="21"/>
  <c r="R36" i="21"/>
  <c r="V36" i="21"/>
  <c r="F43" i="21"/>
  <c r="J43" i="21"/>
  <c r="N43" i="21"/>
  <c r="R43" i="21"/>
  <c r="V43" i="21"/>
  <c r="F50" i="21"/>
  <c r="J50" i="21"/>
  <c r="N50" i="21"/>
  <c r="R50" i="21"/>
  <c r="V50" i="21"/>
  <c r="F57" i="21"/>
  <c r="J57" i="21"/>
  <c r="N57" i="21"/>
  <c r="R57" i="21"/>
  <c r="V57" i="21"/>
  <c r="F64" i="21"/>
  <c r="J64" i="21"/>
  <c r="N64" i="21"/>
  <c r="R64" i="21"/>
  <c r="V64" i="21"/>
  <c r="D29" i="22"/>
  <c r="H29" i="22"/>
  <c r="L29" i="22"/>
  <c r="P29" i="22"/>
  <c r="T29" i="22"/>
  <c r="L36" i="22"/>
  <c r="P36" i="22"/>
  <c r="H43" i="22"/>
  <c r="L43" i="22"/>
  <c r="D50" i="22"/>
  <c r="H50" i="22"/>
  <c r="T50" i="22"/>
  <c r="D57" i="22"/>
  <c r="P57" i="22"/>
  <c r="T57" i="22"/>
  <c r="L64" i="22"/>
  <c r="P64" i="22"/>
  <c r="D29" i="23"/>
  <c r="H29" i="23"/>
  <c r="L29" i="23"/>
  <c r="P29" i="23"/>
  <c r="T29" i="23"/>
  <c r="D36" i="23"/>
  <c r="H36" i="23"/>
  <c r="L36" i="23"/>
  <c r="P36" i="23"/>
  <c r="T36" i="23"/>
  <c r="D43" i="23"/>
  <c r="H43" i="23"/>
  <c r="L43" i="23"/>
  <c r="P43" i="23"/>
  <c r="T43" i="23"/>
  <c r="D50" i="23"/>
  <c r="H50" i="23"/>
  <c r="L50" i="23"/>
  <c r="P50" i="23"/>
  <c r="T50" i="23"/>
  <c r="D57" i="23"/>
  <c r="H57" i="23"/>
  <c r="L57" i="23"/>
  <c r="P57" i="23"/>
  <c r="T57" i="23"/>
  <c r="D64" i="23"/>
  <c r="H64" i="23"/>
  <c r="L64" i="23"/>
  <c r="P64" i="23"/>
  <c r="T64" i="23"/>
  <c r="C29" i="24"/>
  <c r="G29" i="24"/>
  <c r="K29" i="24"/>
  <c r="O29" i="24"/>
  <c r="S29" i="24"/>
  <c r="C36" i="24"/>
  <c r="G36" i="24"/>
  <c r="K36" i="24"/>
  <c r="O36" i="24"/>
  <c r="S36" i="24"/>
  <c r="C43" i="24"/>
  <c r="G43" i="24"/>
  <c r="K43" i="24"/>
  <c r="O43" i="24"/>
  <c r="S43" i="24"/>
  <c r="C50" i="24"/>
  <c r="G50" i="24"/>
  <c r="K50" i="24"/>
  <c r="O50" i="24"/>
  <c r="S50" i="24"/>
  <c r="C57" i="24"/>
  <c r="G57" i="24"/>
  <c r="K57" i="24"/>
  <c r="O57" i="24"/>
  <c r="S57" i="24"/>
  <c r="C64" i="24"/>
  <c r="G64" i="24"/>
  <c r="K64" i="24"/>
  <c r="O64" i="24"/>
  <c r="S64" i="24"/>
  <c r="G29" i="25"/>
  <c r="K29" i="25"/>
  <c r="O29" i="25"/>
  <c r="G36" i="25"/>
  <c r="K36" i="25"/>
  <c r="O36" i="25"/>
  <c r="C43" i="25"/>
  <c r="K43" i="25"/>
  <c r="O43" i="25"/>
  <c r="S43" i="25"/>
  <c r="K50" i="25"/>
  <c r="O50" i="25"/>
  <c r="S50" i="25"/>
  <c r="K57" i="25"/>
  <c r="O57" i="25"/>
  <c r="S57" i="25"/>
  <c r="G64" i="25"/>
  <c r="O64" i="25"/>
  <c r="S64" i="25"/>
  <c r="D29" i="26"/>
  <c r="H29" i="26"/>
  <c r="L29" i="26"/>
  <c r="P29" i="26"/>
  <c r="T29" i="26"/>
  <c r="D36" i="26"/>
  <c r="H36" i="26"/>
  <c r="L36" i="26"/>
  <c r="D43" i="26"/>
  <c r="H43" i="26"/>
  <c r="L43" i="26"/>
  <c r="P43" i="26"/>
  <c r="T43" i="26"/>
  <c r="D50" i="26"/>
  <c r="H50" i="26"/>
  <c r="L50" i="26"/>
  <c r="P50" i="26"/>
  <c r="T50" i="26"/>
  <c r="D57" i="26"/>
  <c r="H57" i="26"/>
  <c r="L57" i="26"/>
  <c r="P57" i="26"/>
  <c r="T57" i="26"/>
  <c r="H64" i="26"/>
  <c r="L64" i="26"/>
  <c r="P64" i="26"/>
  <c r="F36" i="23"/>
  <c r="J36" i="23"/>
  <c r="N36" i="23"/>
  <c r="R36" i="23"/>
  <c r="V36" i="23"/>
  <c r="F43" i="23"/>
  <c r="J43" i="23"/>
  <c r="N43" i="23"/>
  <c r="R43" i="23"/>
  <c r="V43" i="23"/>
  <c r="F50" i="23"/>
  <c r="J50" i="23"/>
  <c r="N50" i="23"/>
  <c r="R50" i="23"/>
  <c r="V50" i="23"/>
  <c r="F57" i="23"/>
  <c r="J57" i="23"/>
  <c r="N57" i="23"/>
  <c r="R57" i="23"/>
  <c r="V57" i="23"/>
  <c r="F64" i="23"/>
  <c r="J64" i="23"/>
  <c r="N64" i="23"/>
  <c r="R64" i="23"/>
  <c r="V64" i="23"/>
  <c r="D29" i="24"/>
  <c r="H29" i="24"/>
  <c r="L29" i="24"/>
  <c r="P29" i="24"/>
  <c r="T29" i="24"/>
  <c r="D36" i="24"/>
  <c r="H36" i="24"/>
  <c r="L36" i="24"/>
  <c r="P36" i="24"/>
  <c r="T36" i="24"/>
  <c r="D43" i="24"/>
  <c r="H43" i="24"/>
  <c r="L43" i="24"/>
  <c r="P43" i="24"/>
  <c r="T43" i="24"/>
  <c r="D50" i="24"/>
  <c r="H50" i="24"/>
  <c r="L50" i="24"/>
  <c r="P50" i="24"/>
  <c r="T50" i="24"/>
  <c r="D57" i="24"/>
  <c r="H57" i="24"/>
  <c r="L57" i="24"/>
  <c r="P57" i="24"/>
  <c r="T57" i="24"/>
  <c r="D64" i="24"/>
  <c r="H64" i="24"/>
  <c r="L64" i="24"/>
  <c r="P64" i="24"/>
  <c r="T64" i="24"/>
  <c r="D29" i="25"/>
  <c r="H29" i="25"/>
  <c r="L29" i="25"/>
  <c r="P29" i="25"/>
  <c r="T29" i="25"/>
  <c r="D36" i="25"/>
  <c r="H36" i="25"/>
  <c r="L36" i="25"/>
  <c r="P36" i="25"/>
  <c r="T36" i="25"/>
  <c r="D43" i="25"/>
  <c r="H43" i="25"/>
  <c r="L43" i="25"/>
  <c r="P43" i="25"/>
  <c r="T43" i="25"/>
  <c r="D50" i="25"/>
  <c r="H50" i="25"/>
  <c r="L50" i="25"/>
  <c r="P50" i="25"/>
  <c r="T50" i="25"/>
  <c r="D57" i="25"/>
  <c r="H57" i="25"/>
  <c r="L57" i="25"/>
  <c r="P57" i="25"/>
  <c r="T57" i="25"/>
  <c r="D64" i="25"/>
  <c r="H64" i="25"/>
  <c r="L64" i="25"/>
  <c r="P64" i="25"/>
  <c r="T64" i="25"/>
  <c r="M29" i="26"/>
  <c r="E36" i="26"/>
  <c r="I36" i="26"/>
  <c r="M36" i="26"/>
  <c r="Q36" i="26"/>
  <c r="U36" i="26"/>
  <c r="E43" i="26"/>
  <c r="I43" i="26"/>
  <c r="M43" i="26"/>
  <c r="Q43" i="26"/>
  <c r="U43" i="26"/>
  <c r="E50" i="26"/>
  <c r="I50" i="26"/>
  <c r="M50" i="26"/>
  <c r="Q50" i="26"/>
  <c r="U50" i="26"/>
  <c r="Q57" i="26"/>
  <c r="E64" i="26"/>
  <c r="I64" i="26"/>
  <c r="M64" i="26"/>
  <c r="Q64" i="26"/>
  <c r="U64" i="26"/>
  <c r="F22" i="32"/>
  <c r="F36" i="32"/>
  <c r="F29" i="32"/>
  <c r="N22" i="32"/>
  <c r="N36" i="32"/>
  <c r="V22" i="32"/>
  <c r="V36" i="32"/>
  <c r="V29" i="32"/>
  <c r="I29" i="32"/>
  <c r="I43" i="32"/>
  <c r="I36" i="32"/>
  <c r="Q29" i="32"/>
  <c r="Q43" i="32"/>
  <c r="D36" i="32"/>
  <c r="D50" i="32"/>
  <c r="L36" i="32"/>
  <c r="L50" i="32"/>
  <c r="L43" i="32"/>
  <c r="T36" i="32"/>
  <c r="T50" i="32"/>
  <c r="T43" i="32"/>
  <c r="G43" i="32"/>
  <c r="G57" i="32"/>
  <c r="O43" i="32"/>
  <c r="O57" i="32"/>
  <c r="W43" i="32"/>
  <c r="W57" i="32"/>
  <c r="W50" i="32"/>
  <c r="F50" i="32"/>
  <c r="J50" i="32"/>
  <c r="J64" i="32"/>
  <c r="J57" i="32"/>
  <c r="N50" i="32"/>
  <c r="R50" i="32"/>
  <c r="R64" i="32"/>
  <c r="V50" i="32"/>
  <c r="E57" i="32"/>
  <c r="I57" i="32"/>
  <c r="M57" i="32"/>
  <c r="M64" i="32"/>
  <c r="Q57" i="32"/>
  <c r="U57" i="32"/>
  <c r="U64" i="32"/>
  <c r="D64" i="32"/>
  <c r="H64" i="32"/>
  <c r="L64" i="32"/>
  <c r="P64" i="32"/>
  <c r="T64" i="32"/>
  <c r="Q36" i="32"/>
  <c r="R57" i="32"/>
  <c r="F29" i="26"/>
  <c r="J29" i="26"/>
  <c r="N29" i="26"/>
  <c r="R29" i="26"/>
  <c r="V29" i="26"/>
  <c r="F36" i="26"/>
  <c r="J36" i="26"/>
  <c r="N36" i="26"/>
  <c r="R36" i="26"/>
  <c r="V36" i="26"/>
  <c r="F43" i="26"/>
  <c r="J43" i="26"/>
  <c r="N43" i="26"/>
  <c r="R43" i="26"/>
  <c r="V43" i="26"/>
  <c r="F50" i="26"/>
  <c r="V50" i="26"/>
  <c r="F57" i="26"/>
  <c r="J57" i="26"/>
  <c r="N57" i="26"/>
  <c r="R57" i="26"/>
  <c r="V57" i="26"/>
  <c r="F64" i="26"/>
  <c r="J64" i="26"/>
  <c r="N64" i="26"/>
  <c r="R64" i="26"/>
  <c r="V64" i="26"/>
  <c r="M57" i="26"/>
  <c r="F29" i="27"/>
  <c r="J36" i="27"/>
  <c r="N36" i="27"/>
  <c r="R29" i="27"/>
  <c r="C43" i="27"/>
  <c r="G43" i="27"/>
  <c r="K36" i="27"/>
  <c r="O43" i="27"/>
  <c r="S43" i="27"/>
  <c r="D43" i="27"/>
  <c r="H50" i="27"/>
  <c r="L50" i="27"/>
  <c r="P43" i="27"/>
  <c r="T50" i="27"/>
  <c r="E50" i="27"/>
  <c r="I57" i="27"/>
  <c r="M57" i="27"/>
  <c r="Q50" i="27"/>
  <c r="U57" i="27"/>
  <c r="F57" i="27"/>
  <c r="J57" i="27"/>
  <c r="N64" i="27"/>
  <c r="R64" i="27"/>
  <c r="C64" i="27"/>
  <c r="G64" i="27"/>
  <c r="K64" i="27"/>
  <c r="O64" i="27"/>
  <c r="S64" i="27"/>
  <c r="F29" i="28"/>
  <c r="J29" i="28"/>
  <c r="N29" i="28"/>
  <c r="R29" i="28"/>
  <c r="C36" i="28"/>
  <c r="G36" i="28"/>
  <c r="K43" i="28"/>
  <c r="O36" i="28"/>
  <c r="S43" i="28"/>
  <c r="D43" i="28"/>
  <c r="H50" i="28"/>
  <c r="L43" i="28"/>
  <c r="P50" i="28"/>
  <c r="T43" i="28"/>
  <c r="E57" i="28"/>
  <c r="I50" i="28"/>
  <c r="M57" i="28"/>
  <c r="Q50" i="28"/>
  <c r="U50" i="28"/>
  <c r="F57" i="28"/>
  <c r="J57" i="28"/>
  <c r="D43" i="32"/>
  <c r="E64" i="32"/>
  <c r="Q43" i="30"/>
  <c r="U43" i="30"/>
  <c r="C50" i="30"/>
  <c r="G50" i="30"/>
  <c r="K50" i="30"/>
  <c r="O50" i="30"/>
  <c r="S50" i="30"/>
  <c r="W50" i="30"/>
  <c r="E50" i="30"/>
  <c r="I57" i="30"/>
  <c r="M57" i="30"/>
  <c r="Q57" i="30"/>
  <c r="U57" i="30"/>
  <c r="C57" i="30"/>
  <c r="G64" i="30"/>
  <c r="K57" i="30"/>
  <c r="O64" i="30"/>
  <c r="S57" i="30"/>
  <c r="W64" i="30"/>
  <c r="E64" i="30"/>
  <c r="I64" i="30"/>
  <c r="M64" i="30"/>
  <c r="Q64" i="30"/>
  <c r="U64" i="30"/>
  <c r="W43" i="31"/>
  <c r="W36" i="31"/>
  <c r="R50" i="31"/>
  <c r="R43" i="31"/>
  <c r="E50" i="31"/>
  <c r="M57" i="31"/>
  <c r="M50" i="31"/>
  <c r="Q50" i="31"/>
  <c r="U50" i="31"/>
  <c r="D64" i="31"/>
  <c r="H57" i="31"/>
  <c r="L64" i="31"/>
  <c r="L57" i="31"/>
  <c r="P57" i="31"/>
  <c r="T64" i="31"/>
  <c r="C64" i="31"/>
  <c r="K64" i="31"/>
  <c r="S64" i="31"/>
  <c r="M29" i="31"/>
  <c r="H36" i="31"/>
  <c r="C43" i="31"/>
  <c r="S43" i="31"/>
  <c r="T50" i="31"/>
  <c r="T57" i="31"/>
  <c r="J29" i="32"/>
  <c r="R29" i="32"/>
  <c r="E36" i="32"/>
  <c r="M36" i="32"/>
  <c r="U36" i="32"/>
  <c r="H43" i="32"/>
  <c r="P43" i="32"/>
  <c r="C50" i="32"/>
  <c r="K50" i="32"/>
  <c r="S50" i="32"/>
  <c r="F57" i="32"/>
  <c r="N57" i="32"/>
  <c r="V57" i="32"/>
  <c r="I64" i="32"/>
  <c r="Q64" i="32"/>
  <c r="D57" i="33"/>
  <c r="H57" i="33"/>
  <c r="L57" i="33"/>
  <c r="P57" i="33"/>
  <c r="T57" i="33"/>
  <c r="C64" i="33"/>
  <c r="G64" i="33"/>
  <c r="K64" i="33"/>
  <c r="O64" i="33"/>
  <c r="S64" i="33"/>
  <c r="W64" i="33"/>
  <c r="X64" i="33"/>
  <c r="E29" i="24"/>
  <c r="I29" i="24"/>
  <c r="M29" i="24"/>
  <c r="Q29" i="24"/>
  <c r="U29" i="24"/>
  <c r="E36" i="24"/>
  <c r="I36" i="24"/>
  <c r="M36" i="24"/>
  <c r="Q36" i="24"/>
  <c r="U36" i="24"/>
  <c r="E43" i="24"/>
  <c r="I43" i="24"/>
  <c r="M43" i="24"/>
  <c r="Q43" i="24"/>
  <c r="U43" i="24"/>
  <c r="E50" i="24"/>
  <c r="I50" i="24"/>
  <c r="M50" i="24"/>
  <c r="Q50" i="24"/>
  <c r="U50" i="24"/>
  <c r="E57" i="24"/>
  <c r="I57" i="24"/>
  <c r="M57" i="24"/>
  <c r="Q57" i="24"/>
  <c r="U57" i="24"/>
  <c r="E64" i="24"/>
  <c r="I64" i="24"/>
  <c r="M64" i="24"/>
  <c r="Q64" i="24"/>
  <c r="U64" i="24"/>
  <c r="E29" i="25"/>
  <c r="I29" i="25"/>
  <c r="M29" i="25"/>
  <c r="Q29" i="25"/>
  <c r="U29" i="25"/>
  <c r="E36" i="25"/>
  <c r="I36" i="25"/>
  <c r="M36" i="25"/>
  <c r="Q36" i="25"/>
  <c r="U36" i="25"/>
  <c r="E43" i="25"/>
  <c r="I43" i="25"/>
  <c r="M43" i="25"/>
  <c r="Q43" i="25"/>
  <c r="U43" i="25"/>
  <c r="E50" i="25"/>
  <c r="I50" i="25"/>
  <c r="M50" i="25"/>
  <c r="Q50" i="25"/>
  <c r="U50" i="25"/>
  <c r="E57" i="25"/>
  <c r="I57" i="25"/>
  <c r="M57" i="25"/>
  <c r="Q57" i="25"/>
  <c r="U57" i="25"/>
  <c r="E64" i="25"/>
  <c r="I64" i="25"/>
  <c r="M64" i="25"/>
  <c r="Q64" i="25"/>
  <c r="U64" i="25"/>
  <c r="C29" i="26"/>
  <c r="G29" i="26"/>
  <c r="K29" i="26"/>
  <c r="O29" i="26"/>
  <c r="S29" i="26"/>
  <c r="C36" i="26"/>
  <c r="G36" i="26"/>
  <c r="K36" i="26"/>
  <c r="O36" i="26"/>
  <c r="S36" i="26"/>
  <c r="C43" i="26"/>
  <c r="G43" i="26"/>
  <c r="K43" i="26"/>
  <c r="O43" i="26"/>
  <c r="S43" i="26"/>
  <c r="C50" i="26"/>
  <c r="G50" i="26"/>
  <c r="K50" i="26"/>
  <c r="O50" i="26"/>
  <c r="S50" i="26"/>
  <c r="C57" i="26"/>
  <c r="G57" i="26"/>
  <c r="K57" i="26"/>
  <c r="O57" i="26"/>
  <c r="S57" i="26"/>
  <c r="C64" i="26"/>
  <c r="G64" i="26"/>
  <c r="K64" i="26"/>
  <c r="O64" i="26"/>
  <c r="S64" i="26"/>
  <c r="D22" i="27"/>
  <c r="H22" i="27"/>
  <c r="L22" i="27"/>
  <c r="P22" i="27"/>
  <c r="T22" i="27"/>
  <c r="D22" i="28"/>
  <c r="H22" i="28"/>
  <c r="L22" i="28"/>
  <c r="P22" i="28"/>
  <c r="T22" i="28"/>
  <c r="F43" i="30"/>
  <c r="J43" i="30"/>
  <c r="V43" i="30"/>
  <c r="F50" i="31"/>
  <c r="J50" i="31"/>
  <c r="V50" i="31"/>
  <c r="E57" i="31"/>
  <c r="Q57" i="31"/>
  <c r="U57" i="31"/>
  <c r="H64" i="31"/>
  <c r="P64" i="31"/>
  <c r="Q29" i="31"/>
  <c r="L36" i="31"/>
  <c r="G43" i="31"/>
  <c r="D50" i="31"/>
  <c r="D57" i="31"/>
  <c r="D22" i="30"/>
  <c r="H22" i="30"/>
  <c r="L22" i="30"/>
  <c r="P22" i="30"/>
  <c r="T22" i="30"/>
  <c r="X22" i="30"/>
  <c r="F29" i="30"/>
  <c r="J29" i="30"/>
  <c r="N29" i="30"/>
  <c r="R29" i="30"/>
  <c r="V29" i="30"/>
  <c r="D36" i="30"/>
  <c r="H36" i="30"/>
  <c r="L36" i="30"/>
  <c r="P36" i="30"/>
  <c r="T36" i="30"/>
  <c r="X36" i="30"/>
  <c r="D50" i="30"/>
  <c r="H50" i="30"/>
  <c r="L50" i="30"/>
  <c r="P50" i="30"/>
  <c r="T50" i="30"/>
  <c r="X50" i="30"/>
  <c r="F57" i="30"/>
  <c r="J57" i="30"/>
  <c r="N57" i="30"/>
  <c r="R57" i="30"/>
  <c r="V57" i="30"/>
  <c r="D64" i="30"/>
  <c r="H64" i="30"/>
  <c r="L64" i="30"/>
  <c r="P64" i="30"/>
  <c r="T64" i="30"/>
  <c r="X64" i="30"/>
  <c r="F29" i="31"/>
  <c r="J29" i="31"/>
  <c r="N29" i="31"/>
  <c r="R29" i="31"/>
  <c r="V29" i="31"/>
  <c r="E36" i="31"/>
  <c r="I36" i="31"/>
  <c r="M36" i="31"/>
  <c r="Q36" i="31"/>
  <c r="U36" i="31"/>
  <c r="H43" i="31"/>
  <c r="L43" i="31"/>
  <c r="G29" i="32"/>
  <c r="O29" i="32"/>
  <c r="W29" i="32"/>
  <c r="J36" i="32"/>
  <c r="R36" i="32"/>
  <c r="E43" i="32"/>
  <c r="M43" i="32"/>
  <c r="U43" i="32"/>
  <c r="H50" i="32"/>
  <c r="P50" i="32"/>
  <c r="C57" i="32"/>
  <c r="K57" i="32"/>
  <c r="S57" i="32"/>
  <c r="F64" i="32"/>
  <c r="N64" i="32"/>
  <c r="V64" i="32"/>
  <c r="N64" i="28"/>
  <c r="R57" i="28"/>
  <c r="C64" i="28"/>
  <c r="G64" i="28"/>
  <c r="K64" i="28"/>
  <c r="O64" i="28"/>
  <c r="S64" i="28"/>
  <c r="C43" i="30"/>
  <c r="G43" i="30"/>
  <c r="K43" i="30"/>
  <c r="O43" i="30"/>
  <c r="S43" i="30"/>
  <c r="W43" i="30"/>
  <c r="C22" i="31"/>
  <c r="G22" i="31"/>
  <c r="K22" i="31"/>
  <c r="O22" i="31"/>
  <c r="S22" i="31"/>
  <c r="W22" i="31"/>
  <c r="T43" i="31"/>
  <c r="C50" i="31"/>
  <c r="G50" i="31"/>
  <c r="K50" i="31"/>
  <c r="O50" i="31"/>
  <c r="S50" i="31"/>
  <c r="W50" i="31"/>
  <c r="F57" i="31"/>
  <c r="J57" i="31"/>
  <c r="N57" i="31"/>
  <c r="R57" i="31"/>
  <c r="V57" i="31"/>
  <c r="E64" i="31"/>
  <c r="I64" i="31"/>
  <c r="M64" i="31"/>
  <c r="Q64" i="31"/>
  <c r="U64" i="31"/>
  <c r="F29" i="34"/>
  <c r="R29" i="34"/>
  <c r="V29" i="34"/>
  <c r="X57" i="30"/>
  <c r="F64" i="30"/>
  <c r="J64" i="30"/>
  <c r="N64" i="30"/>
  <c r="R64" i="30"/>
  <c r="V64" i="30"/>
  <c r="D22" i="31"/>
  <c r="H22" i="31"/>
  <c r="L22" i="31"/>
  <c r="P22" i="31"/>
  <c r="T22" i="31"/>
  <c r="W57" i="31"/>
  <c r="F64" i="31"/>
  <c r="J64" i="31"/>
  <c r="N64" i="31"/>
  <c r="R64" i="31"/>
  <c r="V64" i="31"/>
  <c r="E22" i="32"/>
  <c r="I22" i="32"/>
  <c r="M22" i="32"/>
  <c r="Q22" i="32"/>
  <c r="U22" i="32"/>
  <c r="D29" i="32"/>
  <c r="H29" i="32"/>
  <c r="L29" i="32"/>
  <c r="P29" i="32"/>
  <c r="T29" i="32"/>
  <c r="C36" i="32"/>
  <c r="G36" i="32"/>
  <c r="K36" i="32"/>
  <c r="O36" i="32"/>
  <c r="S36" i="32"/>
  <c r="W36" i="32"/>
  <c r="F43" i="32"/>
  <c r="J43" i="32"/>
  <c r="N43" i="32"/>
  <c r="R43" i="32"/>
  <c r="V43" i="32"/>
  <c r="E50" i="32"/>
  <c r="I50" i="32"/>
  <c r="M50" i="32"/>
  <c r="Q50" i="32"/>
  <c r="U50" i="32"/>
  <c r="D57" i="32"/>
  <c r="H57" i="32"/>
  <c r="L57" i="32"/>
  <c r="P57" i="32"/>
  <c r="T57" i="32"/>
  <c r="C64" i="32"/>
  <c r="G64" i="32"/>
  <c r="K64" i="32"/>
  <c r="O64" i="32"/>
  <c r="S64" i="32"/>
  <c r="W64" i="32"/>
  <c r="D22" i="33"/>
  <c r="H22" i="33"/>
  <c r="L22" i="33"/>
  <c r="P22" i="33"/>
  <c r="T22" i="33"/>
  <c r="F36" i="33"/>
  <c r="J36" i="33"/>
  <c r="R36" i="33"/>
  <c r="V36" i="33"/>
  <c r="E43" i="33"/>
  <c r="I43" i="33"/>
  <c r="Q43" i="33"/>
  <c r="U43" i="33"/>
  <c r="D50" i="33"/>
  <c r="H50" i="33"/>
  <c r="L50" i="33"/>
  <c r="P50" i="33"/>
  <c r="T50" i="33"/>
  <c r="F64" i="33"/>
  <c r="J64" i="33"/>
  <c r="R64" i="33"/>
  <c r="V64" i="33"/>
  <c r="X57" i="33"/>
  <c r="E29" i="33"/>
  <c r="I29" i="33"/>
  <c r="Q29" i="33"/>
  <c r="U29" i="33"/>
  <c r="D36" i="33"/>
  <c r="H36" i="33"/>
  <c r="L36" i="33"/>
  <c r="P36" i="33"/>
  <c r="T36" i="33"/>
  <c r="F50" i="33"/>
  <c r="J50" i="33"/>
  <c r="R50" i="33"/>
  <c r="V50" i="33"/>
  <c r="E57" i="33"/>
  <c r="I57" i="33"/>
  <c r="Q57" i="33"/>
  <c r="U57" i="33"/>
  <c r="D64" i="33"/>
  <c r="H64" i="33"/>
  <c r="L64" i="33"/>
  <c r="P64" i="33"/>
  <c r="T64" i="33"/>
  <c r="X43" i="33"/>
  <c r="C22" i="33"/>
  <c r="G22" i="33"/>
  <c r="K22" i="33"/>
  <c r="O22" i="33"/>
  <c r="S22" i="33"/>
  <c r="W22" i="33"/>
  <c r="F29" i="33"/>
  <c r="J29" i="33"/>
  <c r="N29" i="33"/>
  <c r="R29" i="33"/>
  <c r="V29" i="33"/>
  <c r="E50" i="33"/>
  <c r="I36" i="33"/>
  <c r="Q50" i="33"/>
  <c r="U50" i="33"/>
  <c r="D43" i="33"/>
  <c r="H43" i="33"/>
  <c r="L43" i="33"/>
  <c r="P43" i="33"/>
  <c r="T43" i="33"/>
  <c r="C43" i="33"/>
  <c r="G50" i="33"/>
  <c r="K50" i="33"/>
  <c r="O57" i="33"/>
  <c r="S50" i="33"/>
  <c r="W57" i="33"/>
  <c r="F57" i="33"/>
  <c r="J57" i="33"/>
  <c r="R57" i="33"/>
  <c r="V57" i="33"/>
  <c r="E64" i="33"/>
  <c r="I64" i="33"/>
  <c r="Q64" i="33"/>
  <c r="U64" i="33"/>
  <c r="X50" i="33"/>
  <c r="C22" i="34"/>
  <c r="G22" i="34"/>
  <c r="K22" i="34"/>
  <c r="O22" i="34"/>
  <c r="S22" i="34"/>
  <c r="W22" i="34"/>
  <c r="E22" i="34"/>
  <c r="E36" i="34"/>
  <c r="M22" i="34"/>
  <c r="M36" i="34"/>
  <c r="U22" i="34"/>
  <c r="U36" i="34"/>
  <c r="H29" i="34"/>
  <c r="H43" i="34"/>
  <c r="P29" i="34"/>
  <c r="P43" i="34"/>
  <c r="P36" i="34"/>
  <c r="C36" i="34"/>
  <c r="C50" i="34"/>
  <c r="C43" i="34"/>
  <c r="C29" i="34"/>
  <c r="K36" i="34"/>
  <c r="K50" i="34"/>
  <c r="K43" i="34"/>
  <c r="K29" i="34"/>
  <c r="S36" i="34"/>
  <c r="S50" i="34"/>
  <c r="S43" i="34"/>
  <c r="S29" i="34"/>
  <c r="F43" i="34"/>
  <c r="F57" i="34"/>
  <c r="F50" i="34"/>
  <c r="F36" i="34"/>
  <c r="N43" i="34"/>
  <c r="N57" i="34"/>
  <c r="N50" i="34"/>
  <c r="N36" i="34"/>
  <c r="R43" i="34"/>
  <c r="R57" i="34"/>
  <c r="R50" i="34"/>
  <c r="R36" i="34"/>
  <c r="E50" i="34"/>
  <c r="E64" i="34"/>
  <c r="E57" i="34"/>
  <c r="E43" i="34"/>
  <c r="I50" i="34"/>
  <c r="I64" i="34"/>
  <c r="I57" i="34"/>
  <c r="I43" i="34"/>
  <c r="Q50" i="34"/>
  <c r="Q64" i="34"/>
  <c r="Q57" i="34"/>
  <c r="Q43" i="34"/>
  <c r="D57" i="34"/>
  <c r="D64" i="34"/>
  <c r="D50" i="34"/>
  <c r="H57" i="34"/>
  <c r="H64" i="34"/>
  <c r="H50" i="34"/>
  <c r="P57" i="34"/>
  <c r="P64" i="34"/>
  <c r="P50" i="34"/>
  <c r="C64" i="34"/>
  <c r="C57" i="34"/>
  <c r="K64" i="34"/>
  <c r="K57" i="34"/>
  <c r="S64" i="34"/>
  <c r="S57" i="34"/>
  <c r="W64" i="34"/>
  <c r="W57" i="34"/>
  <c r="N64" i="34"/>
  <c r="V64" i="34"/>
  <c r="H36" i="34"/>
  <c r="E29" i="34"/>
  <c r="M29" i="34"/>
  <c r="U29" i="34"/>
  <c r="I22" i="34"/>
  <c r="I36" i="34"/>
  <c r="Q22" i="34"/>
  <c r="Q36" i="34"/>
  <c r="D29" i="34"/>
  <c r="D43" i="34"/>
  <c r="L29" i="34"/>
  <c r="L43" i="34"/>
  <c r="T29" i="34"/>
  <c r="T43" i="34"/>
  <c r="T36" i="34"/>
  <c r="G36" i="34"/>
  <c r="G50" i="34"/>
  <c r="G43" i="34"/>
  <c r="G29" i="34"/>
  <c r="O36" i="34"/>
  <c r="O50" i="34"/>
  <c r="O43" i="34"/>
  <c r="O29" i="34"/>
  <c r="W36" i="34"/>
  <c r="W50" i="34"/>
  <c r="W43" i="34"/>
  <c r="W29" i="34"/>
  <c r="J43" i="34"/>
  <c r="J57" i="34"/>
  <c r="J50" i="34"/>
  <c r="J36" i="34"/>
  <c r="V43" i="34"/>
  <c r="V57" i="34"/>
  <c r="V50" i="34"/>
  <c r="V36" i="34"/>
  <c r="M50" i="34"/>
  <c r="M64" i="34"/>
  <c r="M57" i="34"/>
  <c r="M43" i="34"/>
  <c r="U50" i="34"/>
  <c r="U57" i="34"/>
  <c r="U43" i="34"/>
  <c r="L57" i="34"/>
  <c r="L64" i="34"/>
  <c r="L50" i="34"/>
  <c r="T57" i="34"/>
  <c r="T64" i="34"/>
  <c r="T50" i="34"/>
  <c r="G64" i="34"/>
  <c r="G57" i="34"/>
  <c r="O64" i="34"/>
  <c r="O57" i="34"/>
  <c r="F64" i="34"/>
  <c r="J64" i="34"/>
  <c r="R64" i="34"/>
  <c r="I29" i="34"/>
  <c r="D36" i="34"/>
  <c r="U64" i="34"/>
  <c r="D22" i="34"/>
  <c r="H22" i="34"/>
  <c r="L22" i="34"/>
  <c r="P22" i="34"/>
  <c r="T22" i="34"/>
  <c r="F22" i="34"/>
  <c r="J22" i="34"/>
  <c r="N22" i="34"/>
  <c r="R22" i="34"/>
  <c r="V22" i="34"/>
  <c r="M29" i="33"/>
  <c r="N36" i="33"/>
  <c r="N64" i="33"/>
  <c r="N43" i="33"/>
  <c r="N57" i="33"/>
  <c r="N50" i="33"/>
  <c r="M50" i="33"/>
  <c r="M64" i="33"/>
  <c r="M43" i="33"/>
  <c r="M57" i="33"/>
  <c r="G29" i="33"/>
  <c r="S29" i="33"/>
  <c r="E36" i="33"/>
  <c r="Q36" i="33"/>
  <c r="U36" i="33"/>
  <c r="K43" i="33"/>
  <c r="C57" i="33"/>
  <c r="K57" i="33"/>
  <c r="S57" i="33"/>
  <c r="X22" i="33"/>
  <c r="X29" i="33"/>
  <c r="K29" i="33"/>
  <c r="W29" i="33"/>
  <c r="M36" i="33"/>
  <c r="G43" i="33"/>
  <c r="S43" i="33"/>
  <c r="I50" i="33"/>
  <c r="G57" i="33"/>
  <c r="E22" i="33"/>
  <c r="I22" i="33"/>
  <c r="M22" i="33"/>
  <c r="C50" i="33"/>
  <c r="O50" i="33"/>
  <c r="W50" i="33"/>
  <c r="C29" i="33"/>
  <c r="O29" i="33"/>
  <c r="O43" i="33"/>
  <c r="W43" i="33"/>
  <c r="F22" i="33"/>
  <c r="J22" i="33"/>
  <c r="N22" i="33"/>
  <c r="R22" i="33"/>
  <c r="V22" i="33"/>
  <c r="C29" i="30"/>
  <c r="O29" i="30"/>
  <c r="I36" i="30"/>
  <c r="U36" i="30"/>
  <c r="M50" i="30"/>
  <c r="Q50" i="30"/>
  <c r="G57" i="30"/>
  <c r="W57" i="30"/>
  <c r="K29" i="30"/>
  <c r="W29" i="30"/>
  <c r="M36" i="30"/>
  <c r="I50" i="30"/>
  <c r="U50" i="30"/>
  <c r="O57" i="30"/>
  <c r="E22" i="30"/>
  <c r="I22" i="30"/>
  <c r="M22" i="30"/>
  <c r="Q22" i="30"/>
  <c r="U22" i="30"/>
  <c r="G36" i="30"/>
  <c r="S36" i="30"/>
  <c r="E57" i="30"/>
  <c r="C64" i="30"/>
  <c r="K64" i="30"/>
  <c r="S64" i="30"/>
  <c r="E36" i="30"/>
  <c r="Q36" i="30"/>
  <c r="I29" i="28"/>
  <c r="Q29" i="28"/>
  <c r="F36" i="28"/>
  <c r="N36" i="28"/>
  <c r="R36" i="28"/>
  <c r="G43" i="28"/>
  <c r="O43" i="28"/>
  <c r="D50" i="28"/>
  <c r="L50" i="28"/>
  <c r="T50" i="28"/>
  <c r="I57" i="28"/>
  <c r="U57" i="28"/>
  <c r="J64" i="28"/>
  <c r="R64" i="28"/>
  <c r="J22" i="28"/>
  <c r="R22" i="28"/>
  <c r="K36" i="28"/>
  <c r="S36" i="28"/>
  <c r="H43" i="28"/>
  <c r="P43" i="28"/>
  <c r="E50" i="28"/>
  <c r="M50" i="28"/>
  <c r="N57" i="28"/>
  <c r="C22" i="28"/>
  <c r="G22" i="28"/>
  <c r="K22" i="28"/>
  <c r="O22" i="28"/>
  <c r="S22" i="28"/>
  <c r="E29" i="28"/>
  <c r="M29" i="28"/>
  <c r="U29" i="28"/>
  <c r="J36" i="28"/>
  <c r="C43" i="28"/>
  <c r="Q57" i="28"/>
  <c r="F64" i="28"/>
  <c r="F22" i="28"/>
  <c r="N22" i="28"/>
  <c r="M29" i="27"/>
  <c r="F36" i="27"/>
  <c r="R36" i="27"/>
  <c r="K43" i="27"/>
  <c r="D50" i="27"/>
  <c r="P50" i="27"/>
  <c r="E57" i="27"/>
  <c r="Q57" i="27"/>
  <c r="F64" i="27"/>
  <c r="J64" i="27"/>
  <c r="F22" i="27"/>
  <c r="J22" i="27"/>
  <c r="N22" i="27"/>
  <c r="R22" i="27"/>
  <c r="J29" i="27"/>
  <c r="N29" i="27"/>
  <c r="C36" i="27"/>
  <c r="G36" i="27"/>
  <c r="O36" i="27"/>
  <c r="S36" i="27"/>
  <c r="H43" i="27"/>
  <c r="L43" i="27"/>
  <c r="T43" i="27"/>
  <c r="I50" i="27"/>
  <c r="M50" i="27"/>
  <c r="U50" i="27"/>
  <c r="N57" i="27"/>
  <c r="R57" i="27"/>
  <c r="E29" i="27"/>
  <c r="Q29" i="27"/>
  <c r="C22" i="27"/>
  <c r="G22" i="27"/>
  <c r="K22" i="27"/>
  <c r="O22" i="27"/>
  <c r="S22" i="27"/>
  <c r="I29" i="27"/>
  <c r="U29" i="27"/>
  <c r="W43" i="26"/>
  <c r="W50" i="26"/>
  <c r="W29" i="26"/>
  <c r="W57" i="26"/>
  <c r="W36" i="26"/>
  <c r="W22" i="26"/>
  <c r="M50" i="19"/>
  <c r="M36" i="19"/>
  <c r="M29" i="19"/>
  <c r="M43" i="19"/>
  <c r="M57" i="19"/>
  <c r="K29" i="18"/>
  <c r="I36" i="18"/>
  <c r="G43" i="18"/>
  <c r="E50" i="18"/>
  <c r="C57" i="18"/>
  <c r="K57" i="18"/>
  <c r="G29" i="18"/>
  <c r="E36" i="18"/>
  <c r="C43" i="18"/>
  <c r="O43" i="18"/>
  <c r="I50" i="18"/>
  <c r="G57" i="18"/>
  <c r="O57" i="18"/>
  <c r="E22" i="18"/>
  <c r="I22" i="18"/>
  <c r="M22" i="18"/>
  <c r="C36" i="18"/>
  <c r="O36" i="18"/>
  <c r="M43" i="18"/>
  <c r="K50" i="18"/>
  <c r="M57" i="18"/>
  <c r="E29" i="16"/>
  <c r="Q29" i="16"/>
  <c r="L36" i="16"/>
  <c r="P36" i="16"/>
  <c r="G43" i="16"/>
  <c r="S43" i="16"/>
  <c r="N50" i="16"/>
  <c r="E57" i="16"/>
  <c r="Q57" i="16"/>
  <c r="D64" i="16"/>
  <c r="T64" i="16"/>
  <c r="M29" i="16"/>
  <c r="D36" i="16"/>
  <c r="C43" i="16"/>
  <c r="O43" i="16"/>
  <c r="F50" i="16"/>
  <c r="R50" i="16"/>
  <c r="I57" i="16"/>
  <c r="U57" i="16"/>
  <c r="L64" i="16"/>
  <c r="I29" i="16"/>
  <c r="U29" i="16"/>
  <c r="H36" i="16"/>
  <c r="T36" i="16"/>
  <c r="K43" i="16"/>
  <c r="W43" i="16"/>
  <c r="J50" i="16"/>
  <c r="V50" i="16"/>
  <c r="M57" i="16"/>
  <c r="H64" i="16"/>
  <c r="P64" i="16"/>
  <c r="M29" i="15"/>
  <c r="D36" i="15"/>
  <c r="P36" i="15"/>
  <c r="G43" i="15"/>
  <c r="S43" i="15"/>
  <c r="F50" i="15"/>
  <c r="V50" i="15"/>
  <c r="I57" i="15"/>
  <c r="U57" i="15"/>
  <c r="H64" i="15"/>
  <c r="T64" i="15"/>
  <c r="I29" i="15"/>
  <c r="U29" i="15"/>
  <c r="L36" i="15"/>
  <c r="T36" i="15"/>
  <c r="K43" i="15"/>
  <c r="W43" i="15"/>
  <c r="N50" i="15"/>
  <c r="M57" i="15"/>
  <c r="L64" i="15"/>
  <c r="E29" i="15"/>
  <c r="Q29" i="15"/>
  <c r="H36" i="15"/>
  <c r="C43" i="15"/>
  <c r="O43" i="15"/>
  <c r="J50" i="15"/>
  <c r="R50" i="15"/>
  <c r="E57" i="15"/>
  <c r="Q57" i="15"/>
  <c r="D64" i="15"/>
  <c r="P64" i="15"/>
  <c r="D22" i="15"/>
  <c r="H22" i="15"/>
  <c r="L22" i="15"/>
  <c r="P22" i="15"/>
  <c r="T22" i="15"/>
  <c r="P22" i="13"/>
  <c r="T64" i="13"/>
  <c r="T57" i="13"/>
  <c r="T36" i="13"/>
  <c r="T43" i="13"/>
  <c r="T29" i="13"/>
  <c r="T50" i="13"/>
  <c r="Q36" i="13"/>
  <c r="Q50" i="13"/>
  <c r="Q57" i="13"/>
  <c r="Q64" i="13"/>
  <c r="Q29" i="13"/>
  <c r="Q43" i="13"/>
  <c r="P29" i="13"/>
  <c r="P36" i="13"/>
  <c r="P64" i="13"/>
  <c r="P57" i="13"/>
  <c r="P43" i="13"/>
  <c r="P50" i="13"/>
  <c r="O29" i="13"/>
  <c r="O50" i="13"/>
  <c r="O36" i="13"/>
  <c r="O57" i="13"/>
  <c r="M36" i="13"/>
  <c r="M64" i="13"/>
  <c r="M50" i="13"/>
  <c r="L43" i="13"/>
  <c r="L36" i="13"/>
  <c r="L64" i="13"/>
  <c r="L29" i="13"/>
  <c r="L57" i="13"/>
  <c r="L50" i="13"/>
  <c r="K29" i="13"/>
  <c r="K50" i="13"/>
  <c r="K36" i="13"/>
  <c r="K43" i="13"/>
  <c r="K64" i="13"/>
  <c r="K57" i="13"/>
  <c r="O36" i="4"/>
  <c r="O57" i="4"/>
  <c r="O50" i="4"/>
  <c r="O64" i="4"/>
  <c r="O43" i="4"/>
  <c r="V50" i="4"/>
  <c r="V43" i="4"/>
  <c r="V57" i="4"/>
  <c r="V36" i="4"/>
  <c r="V64" i="4"/>
  <c r="R43" i="4"/>
  <c r="R57" i="4"/>
  <c r="R50" i="4"/>
  <c r="R36" i="4"/>
  <c r="R64" i="4"/>
  <c r="P43" i="4"/>
  <c r="P36" i="4"/>
  <c r="P64" i="4"/>
  <c r="P29" i="4"/>
  <c r="P57" i="4"/>
  <c r="P50" i="4"/>
  <c r="L36" i="4"/>
  <c r="L64" i="4"/>
  <c r="L29" i="4"/>
  <c r="L57" i="4"/>
  <c r="L50" i="4"/>
  <c r="J50" i="4"/>
  <c r="J43" i="4"/>
  <c r="J36" i="4"/>
  <c r="J64" i="4"/>
  <c r="G43" i="4"/>
  <c r="C36" i="4"/>
  <c r="F22" i="4"/>
  <c r="R22" i="4"/>
  <c r="J22" i="4"/>
  <c r="N22" i="4"/>
  <c r="V22" i="4"/>
  <c r="G22" i="4"/>
  <c r="K22" i="4"/>
  <c r="O22" i="4"/>
  <c r="D22" i="4"/>
  <c r="H22" i="4"/>
  <c r="L22" i="4"/>
  <c r="P22" i="4"/>
  <c r="T22" i="4"/>
  <c r="E22" i="4"/>
  <c r="I22" i="4"/>
  <c r="M22" i="4"/>
  <c r="Q22" i="4"/>
  <c r="U22" i="4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56" i="2"/>
  <c r="C49" i="2"/>
  <c r="C42" i="2"/>
  <c r="C35" i="2"/>
  <c r="C28" i="2"/>
  <c r="C21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L84" i="10"/>
  <c r="K84" i="10"/>
  <c r="J84" i="10"/>
  <c r="I84" i="10"/>
  <c r="H84" i="10"/>
  <c r="G84" i="10"/>
  <c r="F84" i="10"/>
  <c r="E84" i="10"/>
  <c r="D84" i="10"/>
  <c r="L77" i="10"/>
  <c r="K77" i="10"/>
  <c r="J77" i="10"/>
  <c r="I77" i="10"/>
  <c r="H77" i="10"/>
  <c r="G77" i="10"/>
  <c r="F77" i="10"/>
  <c r="E77" i="10"/>
  <c r="D77" i="10"/>
  <c r="L70" i="10"/>
  <c r="K70" i="10"/>
  <c r="J70" i="10"/>
  <c r="I70" i="10"/>
  <c r="H70" i="10"/>
  <c r="G70" i="10"/>
  <c r="F70" i="10"/>
  <c r="E70" i="10"/>
  <c r="D70" i="10"/>
  <c r="C70" i="10"/>
  <c r="L63" i="10"/>
  <c r="K63" i="10"/>
  <c r="K134" i="10" s="1"/>
  <c r="J63" i="10"/>
  <c r="I63" i="10"/>
  <c r="H63" i="10"/>
  <c r="G63" i="10"/>
  <c r="F63" i="10"/>
  <c r="E63" i="10"/>
  <c r="D63" i="10"/>
  <c r="L56" i="10"/>
  <c r="K56" i="10"/>
  <c r="J56" i="10"/>
  <c r="I56" i="10"/>
  <c r="H56" i="10"/>
  <c r="G56" i="10"/>
  <c r="F56" i="10"/>
  <c r="E56" i="10"/>
  <c r="D56" i="10"/>
  <c r="L49" i="10"/>
  <c r="K49" i="10"/>
  <c r="J49" i="10"/>
  <c r="I49" i="10"/>
  <c r="H49" i="10"/>
  <c r="G49" i="10"/>
  <c r="G134" i="10" s="1"/>
  <c r="F49" i="10"/>
  <c r="E49" i="10"/>
  <c r="D49" i="10"/>
  <c r="L42" i="10"/>
  <c r="K42" i="10"/>
  <c r="J42" i="10"/>
  <c r="I42" i="10"/>
  <c r="H42" i="10"/>
  <c r="G42" i="10"/>
  <c r="F42" i="10"/>
  <c r="E42" i="10"/>
  <c r="D42" i="10"/>
  <c r="L35" i="10"/>
  <c r="K35" i="10"/>
  <c r="J35" i="10"/>
  <c r="I35" i="10"/>
  <c r="H35" i="10"/>
  <c r="G35" i="10"/>
  <c r="F35" i="10"/>
  <c r="E35" i="10"/>
  <c r="D35" i="10"/>
  <c r="L28" i="10"/>
  <c r="K28" i="10"/>
  <c r="J28" i="10"/>
  <c r="I28" i="10"/>
  <c r="H28" i="10"/>
  <c r="G28" i="10"/>
  <c r="F28" i="10"/>
  <c r="E28" i="10"/>
  <c r="D28" i="10"/>
  <c r="L21" i="10"/>
  <c r="K21" i="10"/>
  <c r="J21" i="10"/>
  <c r="I21" i="10"/>
  <c r="H21" i="10"/>
  <c r="G21" i="10"/>
  <c r="F21" i="10"/>
  <c r="E21" i="10"/>
  <c r="D21" i="10"/>
  <c r="C84" i="10"/>
  <c r="C77" i="10"/>
  <c r="C63" i="10"/>
  <c r="C56" i="10"/>
  <c r="C49" i="10"/>
  <c r="C42" i="10"/>
  <c r="C134" i="10" s="1"/>
  <c r="C35" i="10"/>
  <c r="L14" i="10"/>
  <c r="K14" i="10"/>
  <c r="J14" i="10"/>
  <c r="I14" i="10"/>
  <c r="I29" i="10" s="1"/>
  <c r="H14" i="10"/>
  <c r="G14" i="10"/>
  <c r="F14" i="10"/>
  <c r="E14" i="10"/>
  <c r="D14" i="10"/>
  <c r="C14" i="10"/>
  <c r="P70" i="9"/>
  <c r="N70" i="9"/>
  <c r="P63" i="9"/>
  <c r="O63" i="9"/>
  <c r="N63" i="9"/>
  <c r="M63" i="9"/>
  <c r="L63" i="9"/>
  <c r="K63" i="9"/>
  <c r="J63" i="9"/>
  <c r="P56" i="9"/>
  <c r="O56" i="9"/>
  <c r="N56" i="9"/>
  <c r="M56" i="9"/>
  <c r="L56" i="9"/>
  <c r="K56" i="9"/>
  <c r="J56" i="9"/>
  <c r="G56" i="9"/>
  <c r="P49" i="9"/>
  <c r="O49" i="9"/>
  <c r="N49" i="9"/>
  <c r="M49" i="9"/>
  <c r="L49" i="9"/>
  <c r="K49" i="9"/>
  <c r="J49" i="9"/>
  <c r="G49" i="9"/>
  <c r="P42" i="9"/>
  <c r="O42" i="9"/>
  <c r="N42" i="9"/>
  <c r="M42" i="9"/>
  <c r="L42" i="9"/>
  <c r="K42" i="9"/>
  <c r="J42" i="9"/>
  <c r="G42" i="9"/>
  <c r="P35" i="9"/>
  <c r="O35" i="9"/>
  <c r="N35" i="9"/>
  <c r="M35" i="9"/>
  <c r="L35" i="9"/>
  <c r="K35" i="9"/>
  <c r="J35" i="9"/>
  <c r="I35" i="9"/>
  <c r="H35" i="9"/>
  <c r="G35" i="9"/>
  <c r="F35" i="9"/>
  <c r="E35" i="9"/>
  <c r="D35" i="9"/>
  <c r="P28" i="9"/>
  <c r="O28" i="9"/>
  <c r="N28" i="9"/>
  <c r="M28" i="9"/>
  <c r="L28" i="9"/>
  <c r="K28" i="9"/>
  <c r="J28" i="9"/>
  <c r="I28" i="9"/>
  <c r="H28" i="9"/>
  <c r="G28" i="9"/>
  <c r="F28" i="9"/>
  <c r="E28" i="9"/>
  <c r="D28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C42" i="9"/>
  <c r="C35" i="9"/>
  <c r="C28" i="9"/>
  <c r="C21" i="9"/>
  <c r="P14" i="9"/>
  <c r="P15" i="9" s="1"/>
  <c r="O14" i="9"/>
  <c r="O15" i="9" s="1"/>
  <c r="N14" i="9"/>
  <c r="N15" i="9" s="1"/>
  <c r="M14" i="9"/>
  <c r="M15" i="9" s="1"/>
  <c r="L14" i="9"/>
  <c r="L15" i="9" s="1"/>
  <c r="K14" i="9"/>
  <c r="K15" i="9" s="1"/>
  <c r="J14" i="9"/>
  <c r="J15" i="9" s="1"/>
  <c r="I14" i="9"/>
  <c r="I15" i="9" s="1"/>
  <c r="H14" i="9"/>
  <c r="H15" i="9" s="1"/>
  <c r="G14" i="9"/>
  <c r="G15" i="9" s="1"/>
  <c r="F14" i="9"/>
  <c r="F15" i="9" s="1"/>
  <c r="E14" i="9"/>
  <c r="E15" i="9" s="1"/>
  <c r="D14" i="9"/>
  <c r="D15" i="9" s="1"/>
  <c r="P70" i="8"/>
  <c r="N70" i="8"/>
  <c r="P63" i="8"/>
  <c r="O63" i="8"/>
  <c r="N63" i="8"/>
  <c r="M63" i="8"/>
  <c r="L63" i="8"/>
  <c r="K63" i="8"/>
  <c r="J63" i="8"/>
  <c r="P56" i="8"/>
  <c r="O56" i="8"/>
  <c r="N56" i="8"/>
  <c r="M56" i="8"/>
  <c r="L56" i="8"/>
  <c r="K56" i="8"/>
  <c r="J56" i="8"/>
  <c r="G56" i="8"/>
  <c r="P49" i="8"/>
  <c r="O49" i="8"/>
  <c r="N49" i="8"/>
  <c r="M49" i="8"/>
  <c r="L49" i="8"/>
  <c r="K49" i="8"/>
  <c r="J49" i="8"/>
  <c r="G49" i="8"/>
  <c r="P42" i="8"/>
  <c r="O42" i="8"/>
  <c r="N42" i="8"/>
  <c r="M42" i="8"/>
  <c r="L42" i="8"/>
  <c r="K42" i="8"/>
  <c r="J42" i="8"/>
  <c r="G42" i="8"/>
  <c r="P35" i="8"/>
  <c r="O35" i="8"/>
  <c r="N35" i="8"/>
  <c r="M35" i="8"/>
  <c r="L35" i="8"/>
  <c r="K35" i="8"/>
  <c r="J35" i="8"/>
  <c r="I35" i="8"/>
  <c r="H35" i="8"/>
  <c r="G35" i="8"/>
  <c r="F35" i="8"/>
  <c r="E35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42" i="8"/>
  <c r="C35" i="8"/>
  <c r="C28" i="8"/>
  <c r="C21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C126" i="7"/>
  <c r="L126" i="7"/>
  <c r="K126" i="7"/>
  <c r="J126" i="7"/>
  <c r="I126" i="7"/>
  <c r="H126" i="7"/>
  <c r="G126" i="7"/>
  <c r="F126" i="7"/>
  <c r="E126" i="7"/>
  <c r="D126" i="7"/>
  <c r="L119" i="7"/>
  <c r="K119" i="7"/>
  <c r="J119" i="7"/>
  <c r="I119" i="7"/>
  <c r="H119" i="7"/>
  <c r="G119" i="7"/>
  <c r="F119" i="7"/>
  <c r="E119" i="7"/>
  <c r="D119" i="7"/>
  <c r="L112" i="7"/>
  <c r="K112" i="7"/>
  <c r="J112" i="7"/>
  <c r="I112" i="7"/>
  <c r="H112" i="7"/>
  <c r="G112" i="7"/>
  <c r="F112" i="7"/>
  <c r="E112" i="7"/>
  <c r="D112" i="7"/>
  <c r="L105" i="7"/>
  <c r="K105" i="7"/>
  <c r="J105" i="7"/>
  <c r="I105" i="7"/>
  <c r="H105" i="7"/>
  <c r="G105" i="7"/>
  <c r="F105" i="7"/>
  <c r="E105" i="7"/>
  <c r="D105" i="7"/>
  <c r="L98" i="7"/>
  <c r="K98" i="7"/>
  <c r="J98" i="7"/>
  <c r="I98" i="7"/>
  <c r="H98" i="7"/>
  <c r="G98" i="7"/>
  <c r="F98" i="7"/>
  <c r="E98" i="7"/>
  <c r="D98" i="7"/>
  <c r="L91" i="7"/>
  <c r="K91" i="7"/>
  <c r="J91" i="7"/>
  <c r="I91" i="7"/>
  <c r="H91" i="7"/>
  <c r="G91" i="7"/>
  <c r="F91" i="7"/>
  <c r="E91" i="7"/>
  <c r="D91" i="7"/>
  <c r="L84" i="7"/>
  <c r="K84" i="7"/>
  <c r="J84" i="7"/>
  <c r="I84" i="7"/>
  <c r="H84" i="7"/>
  <c r="G84" i="7"/>
  <c r="F84" i="7"/>
  <c r="E84" i="7"/>
  <c r="D84" i="7"/>
  <c r="L77" i="7"/>
  <c r="K77" i="7"/>
  <c r="J77" i="7"/>
  <c r="I77" i="7"/>
  <c r="H77" i="7"/>
  <c r="G77" i="7"/>
  <c r="F77" i="7"/>
  <c r="E77" i="7"/>
  <c r="D77" i="7"/>
  <c r="L70" i="7"/>
  <c r="K70" i="7"/>
  <c r="J70" i="7"/>
  <c r="I70" i="7"/>
  <c r="H70" i="7"/>
  <c r="G70" i="7"/>
  <c r="F70" i="7"/>
  <c r="E70" i="7"/>
  <c r="D70" i="7"/>
  <c r="L63" i="7"/>
  <c r="K63" i="7"/>
  <c r="J63" i="7"/>
  <c r="I63" i="7"/>
  <c r="H63" i="7"/>
  <c r="G63" i="7"/>
  <c r="F63" i="7"/>
  <c r="E63" i="7"/>
  <c r="D63" i="7"/>
  <c r="L56" i="7"/>
  <c r="K56" i="7"/>
  <c r="J56" i="7"/>
  <c r="I56" i="7"/>
  <c r="H56" i="7"/>
  <c r="G56" i="7"/>
  <c r="F56" i="7"/>
  <c r="E56" i="7"/>
  <c r="D56" i="7"/>
  <c r="L49" i="7"/>
  <c r="K49" i="7"/>
  <c r="J49" i="7"/>
  <c r="I49" i="7"/>
  <c r="H49" i="7"/>
  <c r="G49" i="7"/>
  <c r="F49" i="7"/>
  <c r="E49" i="7"/>
  <c r="D49" i="7"/>
  <c r="L42" i="7"/>
  <c r="K42" i="7"/>
  <c r="J42" i="7"/>
  <c r="I42" i="7"/>
  <c r="H42" i="7"/>
  <c r="G42" i="7"/>
  <c r="F42" i="7"/>
  <c r="E42" i="7"/>
  <c r="D42" i="7"/>
  <c r="L35" i="7"/>
  <c r="K35" i="7"/>
  <c r="J35" i="7"/>
  <c r="I35" i="7"/>
  <c r="H35" i="7"/>
  <c r="G35" i="7"/>
  <c r="F35" i="7"/>
  <c r="E35" i="7"/>
  <c r="D35" i="7"/>
  <c r="L28" i="7"/>
  <c r="K28" i="7"/>
  <c r="J28" i="7"/>
  <c r="I28" i="7"/>
  <c r="H28" i="7"/>
  <c r="G28" i="7"/>
  <c r="F28" i="7"/>
  <c r="E28" i="7"/>
  <c r="D28" i="7"/>
  <c r="C71" i="12"/>
  <c r="C92" i="12"/>
  <c r="C44" i="12"/>
  <c r="C55" i="12"/>
  <c r="C70" i="12"/>
  <c r="C43" i="12"/>
  <c r="C79" i="12"/>
  <c r="C47" i="12"/>
  <c r="C21" i="12"/>
  <c r="C50" i="12"/>
  <c r="C83" i="12"/>
  <c r="C77" i="12"/>
  <c r="C115" i="12"/>
  <c r="C53" i="12"/>
  <c r="C89" i="12"/>
  <c r="C118" i="12"/>
  <c r="C14" i="12"/>
  <c r="C31" i="12"/>
  <c r="C22" i="12"/>
  <c r="C3" i="12"/>
  <c r="C37" i="12"/>
  <c r="C35" i="12"/>
  <c r="C95" i="12"/>
  <c r="C91" i="12"/>
  <c r="C24" i="12"/>
  <c r="C9" i="12"/>
  <c r="C45" i="12"/>
  <c r="C51" i="12"/>
  <c r="C74" i="12"/>
  <c r="C4" i="12"/>
  <c r="C108" i="12"/>
  <c r="C10" i="12"/>
  <c r="C20" i="12"/>
  <c r="C7" i="12"/>
  <c r="C56" i="12"/>
  <c r="C114" i="12"/>
  <c r="C101" i="12"/>
  <c r="C40" i="12"/>
  <c r="C29" i="12"/>
  <c r="C93" i="12"/>
  <c r="C30" i="12"/>
  <c r="C116" i="12"/>
  <c r="C111" i="12"/>
  <c r="C17" i="12"/>
  <c r="C57" i="12"/>
  <c r="C97" i="12"/>
  <c r="C60" i="12"/>
  <c r="C96" i="12"/>
  <c r="C33" i="12"/>
  <c r="C12" i="12"/>
  <c r="C82" i="12"/>
  <c r="C102" i="12"/>
  <c r="C41" i="12"/>
  <c r="C38" i="12"/>
  <c r="C42" i="12"/>
  <c r="C84" i="12"/>
  <c r="C104" i="12"/>
  <c r="C66" i="12"/>
  <c r="C62" i="12"/>
  <c r="C81" i="12"/>
  <c r="C69" i="12"/>
  <c r="C103" i="12"/>
  <c r="C85" i="12"/>
  <c r="C8" i="12"/>
  <c r="C98" i="12"/>
  <c r="C105" i="12"/>
  <c r="C19" i="12"/>
  <c r="C15" i="12"/>
  <c r="C61" i="12"/>
  <c r="C6" i="12"/>
  <c r="C49" i="12"/>
  <c r="C65" i="12"/>
  <c r="C68" i="12"/>
  <c r="C64" i="12"/>
  <c r="C36" i="12"/>
  <c r="C54" i="12"/>
  <c r="C18" i="12"/>
  <c r="C52" i="12"/>
  <c r="C46" i="12"/>
  <c r="C63" i="12"/>
  <c r="C34" i="12"/>
  <c r="C90" i="12"/>
  <c r="C87" i="12"/>
  <c r="C94" i="12"/>
  <c r="C117" i="12"/>
  <c r="C32" i="12"/>
  <c r="C39" i="12"/>
  <c r="C25" i="12"/>
  <c r="C23" i="12"/>
  <c r="C5" i="12"/>
  <c r="C80" i="12"/>
  <c r="C110" i="12"/>
  <c r="C28" i="12"/>
  <c r="C88" i="12"/>
  <c r="C76" i="12"/>
  <c r="C78" i="12"/>
  <c r="C99" i="12"/>
  <c r="C72" i="12"/>
  <c r="C73" i="12"/>
  <c r="C86" i="12"/>
  <c r="C75" i="12"/>
  <c r="C59" i="12"/>
  <c r="C11" i="12"/>
  <c r="C67" i="12"/>
  <c r="C48" i="12"/>
  <c r="C13" i="12"/>
  <c r="D127" i="10" l="1"/>
  <c r="L127" i="10"/>
  <c r="E127" i="10"/>
  <c r="F127" i="10"/>
  <c r="G127" i="10"/>
  <c r="H127" i="10"/>
  <c r="C127" i="10"/>
  <c r="I127" i="10"/>
  <c r="J127" i="10"/>
  <c r="E29" i="10"/>
  <c r="K127" i="10"/>
  <c r="I120" i="10"/>
  <c r="E92" i="10"/>
  <c r="E99" i="10"/>
  <c r="E106" i="10"/>
  <c r="E113" i="10"/>
  <c r="E120" i="10"/>
  <c r="F113" i="10"/>
  <c r="F120" i="10"/>
  <c r="G106" i="10"/>
  <c r="G113" i="10"/>
  <c r="G120" i="10"/>
  <c r="H92" i="10"/>
  <c r="H99" i="10"/>
  <c r="H106" i="10"/>
  <c r="H113" i="10"/>
  <c r="H120" i="10"/>
  <c r="J92" i="10"/>
  <c r="J99" i="10"/>
  <c r="J106" i="10"/>
  <c r="J113" i="10"/>
  <c r="J120" i="10"/>
  <c r="K106" i="10"/>
  <c r="K113" i="10"/>
  <c r="K120" i="10"/>
  <c r="L92" i="10"/>
  <c r="L99" i="10"/>
  <c r="L106" i="10"/>
  <c r="L113" i="10"/>
  <c r="L120" i="10"/>
  <c r="D99" i="10"/>
  <c r="D92" i="10"/>
  <c r="D113" i="10"/>
  <c r="D106" i="10"/>
  <c r="D120" i="10"/>
  <c r="C106" i="10"/>
  <c r="C92" i="10"/>
  <c r="C113" i="10"/>
  <c r="C99" i="10"/>
  <c r="C120" i="10"/>
  <c r="I113" i="10"/>
  <c r="I106" i="10"/>
  <c r="F92" i="10"/>
  <c r="F106" i="10"/>
  <c r="F99" i="10"/>
  <c r="G92" i="10"/>
  <c r="G99" i="10"/>
  <c r="K92" i="10"/>
  <c r="K99" i="10"/>
  <c r="I92" i="10"/>
  <c r="I99" i="10"/>
  <c r="F22" i="9"/>
  <c r="G22" i="9"/>
  <c r="J22" i="9"/>
  <c r="N22" i="9"/>
  <c r="O22" i="9"/>
  <c r="E29" i="9"/>
  <c r="I29" i="9"/>
  <c r="M29" i="9"/>
  <c r="E29" i="2"/>
  <c r="F29" i="2"/>
  <c r="M29" i="2"/>
  <c r="N29" i="2"/>
  <c r="Q29" i="2"/>
  <c r="R36" i="2"/>
  <c r="U29" i="2"/>
  <c r="G43" i="2"/>
  <c r="K43" i="2"/>
  <c r="O43" i="2"/>
  <c r="S43" i="2"/>
  <c r="E57" i="2"/>
  <c r="M57" i="2"/>
  <c r="Q57" i="2"/>
  <c r="U57" i="2"/>
  <c r="G64" i="2"/>
  <c r="K64" i="2"/>
  <c r="S64" i="2"/>
  <c r="G50" i="9"/>
  <c r="J64" i="9"/>
  <c r="D43" i="2"/>
  <c r="T36" i="2"/>
  <c r="H50" i="2"/>
  <c r="F64" i="2"/>
  <c r="D36" i="9"/>
  <c r="H36" i="9"/>
  <c r="L36" i="9"/>
  <c r="P36" i="9"/>
  <c r="L43" i="9"/>
  <c r="P43" i="9"/>
  <c r="L50" i="9"/>
  <c r="P50" i="9"/>
  <c r="L57" i="9"/>
  <c r="P57" i="9"/>
  <c r="N71" i="9"/>
  <c r="E43" i="10"/>
  <c r="E71" i="10"/>
  <c r="E85" i="10"/>
  <c r="G22" i="2"/>
  <c r="K22" i="2"/>
  <c r="S22" i="2"/>
  <c r="E43" i="2"/>
  <c r="M43" i="2"/>
  <c r="Q43" i="2"/>
  <c r="U43" i="2"/>
  <c r="G50" i="2"/>
  <c r="K50" i="2"/>
  <c r="S50" i="2"/>
  <c r="M57" i="9"/>
  <c r="N64" i="9"/>
  <c r="D22" i="2"/>
  <c r="H43" i="2"/>
  <c r="N43" i="2"/>
  <c r="D50" i="2"/>
  <c r="T50" i="2"/>
  <c r="R57" i="2"/>
  <c r="D22" i="9"/>
  <c r="H22" i="9"/>
  <c r="L22" i="9"/>
  <c r="P22" i="9"/>
  <c r="G29" i="9"/>
  <c r="K29" i="9"/>
  <c r="O29" i="9"/>
  <c r="F36" i="9"/>
  <c r="J36" i="9"/>
  <c r="N36" i="9"/>
  <c r="J43" i="9"/>
  <c r="N43" i="9"/>
  <c r="J50" i="9"/>
  <c r="N50" i="9"/>
  <c r="J57" i="9"/>
  <c r="N57" i="9"/>
  <c r="K64" i="9"/>
  <c r="O64" i="9"/>
  <c r="E22" i="10"/>
  <c r="I22" i="10"/>
  <c r="D29" i="10"/>
  <c r="H29" i="10"/>
  <c r="L29" i="10"/>
  <c r="E50" i="10"/>
  <c r="I50" i="10"/>
  <c r="D57" i="10"/>
  <c r="L57" i="10"/>
  <c r="I29" i="2"/>
  <c r="E22" i="2"/>
  <c r="M22" i="2"/>
  <c r="Q22" i="2"/>
  <c r="U22" i="2"/>
  <c r="G29" i="2"/>
  <c r="K36" i="2"/>
  <c r="O29" i="2"/>
  <c r="S29" i="2"/>
  <c r="E36" i="2"/>
  <c r="M36" i="2"/>
  <c r="Q36" i="2"/>
  <c r="U36" i="2"/>
  <c r="E50" i="2"/>
  <c r="M50" i="2"/>
  <c r="Q50" i="2"/>
  <c r="U50" i="2"/>
  <c r="G57" i="2"/>
  <c r="K57" i="2"/>
  <c r="O57" i="2"/>
  <c r="S57" i="2"/>
  <c r="D64" i="2"/>
  <c r="H64" i="2"/>
  <c r="L64" i="2"/>
  <c r="P64" i="2"/>
  <c r="T64" i="2"/>
  <c r="M43" i="9"/>
  <c r="P71" i="9"/>
  <c r="H22" i="2"/>
  <c r="T22" i="2"/>
  <c r="F43" i="2"/>
  <c r="R43" i="2"/>
  <c r="N64" i="2"/>
  <c r="E22" i="9"/>
  <c r="I36" i="9"/>
  <c r="M64" i="9"/>
  <c r="D29" i="9"/>
  <c r="H29" i="9"/>
  <c r="L29" i="9"/>
  <c r="P29" i="9"/>
  <c r="G43" i="9"/>
  <c r="K36" i="9"/>
  <c r="O36" i="9"/>
  <c r="O43" i="9"/>
  <c r="O50" i="9"/>
  <c r="O57" i="9"/>
  <c r="L64" i="9"/>
  <c r="P64" i="9"/>
  <c r="E78" i="10"/>
  <c r="C22" i="2"/>
  <c r="F22" i="2"/>
  <c r="N22" i="2"/>
  <c r="R22" i="2"/>
  <c r="D29" i="2"/>
  <c r="H29" i="2"/>
  <c r="L29" i="2"/>
  <c r="P29" i="2"/>
  <c r="T29" i="2"/>
  <c r="F50" i="2"/>
  <c r="N50" i="2"/>
  <c r="R50" i="2"/>
  <c r="D57" i="2"/>
  <c r="H57" i="2"/>
  <c r="L57" i="2"/>
  <c r="P57" i="2"/>
  <c r="T57" i="2"/>
  <c r="E64" i="2"/>
  <c r="M64" i="2"/>
  <c r="Q64" i="2"/>
  <c r="U64" i="2"/>
  <c r="H57" i="10"/>
  <c r="O22" i="2"/>
  <c r="I43" i="2"/>
  <c r="O50" i="2"/>
  <c r="I22" i="2"/>
  <c r="I36" i="2"/>
  <c r="I50" i="2"/>
  <c r="I57" i="2"/>
  <c r="J22" i="2"/>
  <c r="J50" i="2"/>
  <c r="I64" i="2"/>
  <c r="L22" i="2"/>
  <c r="P22" i="2"/>
  <c r="J29" i="2"/>
  <c r="L36" i="2"/>
  <c r="P43" i="2"/>
  <c r="J43" i="2"/>
  <c r="L50" i="2"/>
  <c r="P50" i="2"/>
  <c r="J57" i="2"/>
  <c r="O64" i="2"/>
  <c r="K85" i="10"/>
  <c r="K43" i="9"/>
  <c r="K50" i="9"/>
  <c r="K57" i="9"/>
  <c r="C43" i="10"/>
  <c r="F22" i="10"/>
  <c r="J22" i="10"/>
  <c r="G43" i="10"/>
  <c r="K43" i="10"/>
  <c r="F50" i="10"/>
  <c r="J50" i="10"/>
  <c r="I78" i="10"/>
  <c r="D85" i="10"/>
  <c r="H85" i="10"/>
  <c r="L85" i="10"/>
  <c r="C36" i="10"/>
  <c r="G22" i="10"/>
  <c r="K36" i="10"/>
  <c r="F29" i="10"/>
  <c r="J29" i="10"/>
  <c r="I57" i="10"/>
  <c r="D43" i="10"/>
  <c r="H43" i="10"/>
  <c r="L43" i="10"/>
  <c r="G64" i="10"/>
  <c r="K50" i="10"/>
  <c r="F57" i="10"/>
  <c r="J57" i="10"/>
  <c r="I64" i="10"/>
  <c r="G78" i="10"/>
  <c r="K71" i="10"/>
  <c r="F78" i="10"/>
  <c r="J78" i="10"/>
  <c r="I85" i="10"/>
  <c r="G85" i="10"/>
  <c r="K22" i="9"/>
  <c r="C29" i="10"/>
  <c r="D36" i="10"/>
  <c r="H36" i="10"/>
  <c r="L36" i="10"/>
  <c r="G29" i="10"/>
  <c r="K29" i="10"/>
  <c r="F36" i="10"/>
  <c r="J36" i="10"/>
  <c r="D64" i="10"/>
  <c r="H64" i="10"/>
  <c r="L64" i="10"/>
  <c r="G57" i="10"/>
  <c r="K57" i="10"/>
  <c r="F64" i="10"/>
  <c r="J64" i="10"/>
  <c r="D71" i="10"/>
  <c r="H71" i="10"/>
  <c r="L71" i="10"/>
  <c r="F85" i="10"/>
  <c r="J85" i="10"/>
  <c r="C50" i="2"/>
  <c r="C50" i="10"/>
  <c r="C85" i="10"/>
  <c r="C71" i="10"/>
  <c r="C29" i="2"/>
  <c r="C57" i="2"/>
  <c r="C57" i="10"/>
  <c r="C36" i="2"/>
  <c r="C64" i="2"/>
  <c r="P43" i="8"/>
  <c r="O64" i="8"/>
  <c r="L43" i="8"/>
  <c r="L64" i="8"/>
  <c r="P64" i="8"/>
  <c r="P71" i="8"/>
  <c r="F36" i="8"/>
  <c r="J36" i="8"/>
  <c r="N36" i="8"/>
  <c r="M64" i="8"/>
  <c r="K64" i="8"/>
  <c r="J64" i="8"/>
  <c r="N64" i="8"/>
  <c r="N71" i="8"/>
  <c r="J36" i="2"/>
  <c r="C43" i="2"/>
  <c r="J64" i="2"/>
  <c r="R64" i="2"/>
  <c r="R29" i="2"/>
  <c r="G36" i="2"/>
  <c r="O36" i="2"/>
  <c r="S36" i="2"/>
  <c r="L43" i="2"/>
  <c r="T43" i="2"/>
  <c r="F57" i="2"/>
  <c r="N57" i="2"/>
  <c r="K29" i="2"/>
  <c r="D36" i="2"/>
  <c r="H36" i="2"/>
  <c r="P36" i="2"/>
  <c r="F36" i="2"/>
  <c r="N36" i="2"/>
  <c r="C22" i="10"/>
  <c r="K22" i="10"/>
  <c r="G36" i="10"/>
  <c r="I43" i="10"/>
  <c r="G50" i="10"/>
  <c r="E57" i="10"/>
  <c r="C64" i="10"/>
  <c r="K64" i="10"/>
  <c r="I71" i="10"/>
  <c r="C78" i="10"/>
  <c r="K78" i="10"/>
  <c r="D22" i="10"/>
  <c r="L22" i="10"/>
  <c r="J43" i="10"/>
  <c r="H50" i="10"/>
  <c r="F71" i="10"/>
  <c r="D78" i="10"/>
  <c r="L78" i="10"/>
  <c r="E36" i="10"/>
  <c r="I36" i="10"/>
  <c r="E64" i="10"/>
  <c r="G71" i="10"/>
  <c r="H22" i="10"/>
  <c r="F43" i="10"/>
  <c r="D50" i="10"/>
  <c r="L50" i="10"/>
  <c r="J71" i="10"/>
  <c r="H78" i="10"/>
  <c r="I22" i="9"/>
  <c r="F29" i="9"/>
  <c r="E36" i="9"/>
  <c r="G57" i="9"/>
  <c r="M22" i="9"/>
  <c r="N29" i="9"/>
  <c r="M36" i="9"/>
  <c r="M50" i="9"/>
  <c r="G36" i="9"/>
  <c r="J29" i="9"/>
  <c r="O50" i="8"/>
  <c r="M43" i="8"/>
  <c r="L50" i="8"/>
  <c r="P50" i="8"/>
  <c r="K57" i="8"/>
  <c r="O57" i="8"/>
  <c r="K50" i="8"/>
  <c r="H36" i="8"/>
  <c r="L36" i="8"/>
  <c r="P36" i="8"/>
  <c r="J43" i="8"/>
  <c r="N43" i="8"/>
  <c r="L57" i="8"/>
  <c r="P57" i="8"/>
  <c r="G50" i="8"/>
  <c r="C43" i="8"/>
  <c r="E36" i="8"/>
  <c r="I36" i="8"/>
  <c r="M36" i="8"/>
  <c r="G43" i="8"/>
  <c r="K43" i="8"/>
  <c r="O43" i="8"/>
  <c r="J57" i="8"/>
  <c r="N57" i="8"/>
  <c r="G57" i="8"/>
  <c r="M57" i="8"/>
  <c r="O36" i="8"/>
  <c r="D29" i="8"/>
  <c r="H29" i="8"/>
  <c r="L29" i="8"/>
  <c r="P29" i="8"/>
  <c r="J50" i="8"/>
  <c r="N50" i="8"/>
  <c r="G36" i="8"/>
  <c r="C36" i="8"/>
  <c r="K36" i="8"/>
  <c r="M50" i="8"/>
  <c r="E29" i="8"/>
  <c r="I29" i="8"/>
  <c r="M29" i="8"/>
  <c r="F29" i="8"/>
  <c r="J29" i="8"/>
  <c r="N29" i="8"/>
  <c r="C29" i="8"/>
  <c r="G29" i="8"/>
  <c r="K29" i="8"/>
  <c r="O29" i="8"/>
  <c r="L21" i="7"/>
  <c r="K21" i="7"/>
  <c r="J21" i="7"/>
  <c r="I21" i="7"/>
  <c r="H21" i="7"/>
  <c r="G21" i="7"/>
  <c r="F21" i="7"/>
  <c r="E21" i="7"/>
  <c r="D21" i="7"/>
  <c r="C119" i="7"/>
  <c r="C112" i="7"/>
  <c r="C105" i="7"/>
  <c r="C98" i="7"/>
  <c r="C91" i="7"/>
  <c r="C84" i="7"/>
  <c r="C77" i="7"/>
  <c r="C70" i="7"/>
  <c r="C63" i="7"/>
  <c r="C56" i="7"/>
  <c r="C49" i="7"/>
  <c r="C42" i="7"/>
  <c r="C35" i="7"/>
  <c r="C28" i="7"/>
  <c r="C21" i="7"/>
  <c r="C14" i="7"/>
  <c r="L14" i="7"/>
  <c r="L50" i="7" s="1"/>
  <c r="K14" i="7"/>
  <c r="J14" i="7"/>
  <c r="I14" i="7"/>
  <c r="I57" i="7" s="1"/>
  <c r="H14" i="7"/>
  <c r="G14" i="7"/>
  <c r="F14" i="7"/>
  <c r="F71" i="7" s="1"/>
  <c r="E14" i="7"/>
  <c r="D14" i="7"/>
  <c r="D99" i="7" s="1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U21" i="5"/>
  <c r="T21" i="5"/>
  <c r="S21" i="5"/>
  <c r="R21" i="5"/>
  <c r="Q21" i="5"/>
  <c r="P21" i="5"/>
  <c r="O21" i="5"/>
  <c r="N21" i="5"/>
  <c r="M21" i="5"/>
  <c r="L21" i="5"/>
  <c r="I21" i="5"/>
  <c r="H21" i="5"/>
  <c r="G21" i="5"/>
  <c r="F21" i="5"/>
  <c r="E21" i="5"/>
  <c r="D21" i="5"/>
  <c r="C63" i="5"/>
  <c r="C56" i="5"/>
  <c r="C49" i="5"/>
  <c r="C42" i="5"/>
  <c r="C35" i="5"/>
  <c r="C28" i="5"/>
  <c r="C21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I22" i="5" s="1"/>
  <c r="H14" i="5"/>
  <c r="G14" i="5"/>
  <c r="F14" i="5"/>
  <c r="E14" i="5"/>
  <c r="D14" i="5"/>
  <c r="C14" i="5"/>
  <c r="C22" i="5" s="1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109" i="12"/>
  <c r="C107" i="12"/>
  <c r="C112" i="12"/>
  <c r="C100" i="12"/>
  <c r="C106" i="12"/>
  <c r="C113" i="12"/>
  <c r="E85" i="7" l="1"/>
  <c r="D22" i="5"/>
  <c r="G22" i="5"/>
  <c r="J71" i="7"/>
  <c r="E22" i="5"/>
  <c r="U22" i="5"/>
  <c r="H120" i="7"/>
  <c r="S22" i="5"/>
  <c r="K22" i="5"/>
  <c r="M22" i="5"/>
  <c r="P22" i="5"/>
  <c r="Q22" i="5"/>
  <c r="O22" i="5"/>
  <c r="F127" i="7"/>
  <c r="F113" i="7"/>
  <c r="F106" i="7"/>
  <c r="F92" i="7"/>
  <c r="J92" i="7"/>
  <c r="J85" i="7"/>
  <c r="K36" i="7"/>
  <c r="J36" i="5"/>
  <c r="F64" i="5"/>
  <c r="L50" i="5"/>
  <c r="H78" i="7"/>
  <c r="F36" i="5"/>
  <c r="R36" i="5"/>
  <c r="J64" i="5"/>
  <c r="R64" i="5"/>
  <c r="H50" i="5"/>
  <c r="T50" i="5"/>
  <c r="F43" i="7"/>
  <c r="F50" i="7"/>
  <c r="N36" i="5"/>
  <c r="N64" i="5"/>
  <c r="F22" i="5"/>
  <c r="J22" i="5"/>
  <c r="N22" i="5"/>
  <c r="R22" i="5"/>
  <c r="E57" i="7"/>
  <c r="J57" i="7"/>
  <c r="J99" i="7"/>
  <c r="I50" i="7"/>
  <c r="J113" i="7"/>
  <c r="I71" i="7"/>
  <c r="J78" i="7"/>
  <c r="E71" i="7"/>
  <c r="E22" i="7"/>
  <c r="G36" i="7"/>
  <c r="I64" i="7"/>
  <c r="E78" i="7"/>
  <c r="C64" i="7"/>
  <c r="D29" i="5"/>
  <c r="H29" i="5"/>
  <c r="L29" i="5"/>
  <c r="P29" i="5"/>
  <c r="T29" i="5"/>
  <c r="D43" i="5"/>
  <c r="H43" i="5"/>
  <c r="L43" i="5"/>
  <c r="P43" i="5"/>
  <c r="T43" i="5"/>
  <c r="F50" i="5"/>
  <c r="J50" i="5"/>
  <c r="N50" i="5"/>
  <c r="R50" i="5"/>
  <c r="D57" i="5"/>
  <c r="H57" i="5"/>
  <c r="L57" i="5"/>
  <c r="P57" i="5"/>
  <c r="T57" i="5"/>
  <c r="E29" i="5"/>
  <c r="I29" i="5"/>
  <c r="M29" i="5"/>
  <c r="Q29" i="5"/>
  <c r="U29" i="5"/>
  <c r="G36" i="5"/>
  <c r="K43" i="5"/>
  <c r="O43" i="5"/>
  <c r="S43" i="5"/>
  <c r="E43" i="5"/>
  <c r="I43" i="5"/>
  <c r="M43" i="5"/>
  <c r="Q43" i="5"/>
  <c r="U43" i="5"/>
  <c r="G50" i="5"/>
  <c r="K50" i="5"/>
  <c r="O50" i="5"/>
  <c r="S50" i="5"/>
  <c r="E57" i="5"/>
  <c r="I57" i="5"/>
  <c r="M57" i="5"/>
  <c r="Q57" i="5"/>
  <c r="U57" i="5"/>
  <c r="G64" i="5"/>
  <c r="K64" i="5"/>
  <c r="O64" i="5"/>
  <c r="S64" i="5"/>
  <c r="F29" i="5"/>
  <c r="J29" i="5"/>
  <c r="N29" i="5"/>
  <c r="R29" i="5"/>
  <c r="D36" i="5"/>
  <c r="H36" i="5"/>
  <c r="L36" i="5"/>
  <c r="P36" i="5"/>
  <c r="T36" i="5"/>
  <c r="F43" i="5"/>
  <c r="J43" i="5"/>
  <c r="N43" i="5"/>
  <c r="R43" i="5"/>
  <c r="F57" i="5"/>
  <c r="J57" i="5"/>
  <c r="N57" i="5"/>
  <c r="R57" i="5"/>
  <c r="D64" i="5"/>
  <c r="H64" i="5"/>
  <c r="L64" i="5"/>
  <c r="P64" i="5"/>
  <c r="T64" i="5"/>
  <c r="G29" i="5"/>
  <c r="K29" i="5"/>
  <c r="O29" i="5"/>
  <c r="S29" i="5"/>
  <c r="E36" i="5"/>
  <c r="I36" i="5"/>
  <c r="M36" i="5"/>
  <c r="Q36" i="5"/>
  <c r="U36" i="5"/>
  <c r="E50" i="5"/>
  <c r="I50" i="5"/>
  <c r="M50" i="5"/>
  <c r="Q50" i="5"/>
  <c r="U50" i="5"/>
  <c r="G57" i="5"/>
  <c r="K57" i="5"/>
  <c r="O57" i="5"/>
  <c r="S57" i="5"/>
  <c r="E64" i="5"/>
  <c r="I64" i="5"/>
  <c r="M64" i="5"/>
  <c r="Q64" i="5"/>
  <c r="U64" i="5"/>
  <c r="C29" i="5"/>
  <c r="C64" i="5"/>
  <c r="C43" i="5"/>
  <c r="C57" i="5"/>
  <c r="C50" i="5"/>
  <c r="C120" i="7"/>
  <c r="L120" i="7"/>
  <c r="L64" i="7"/>
  <c r="D92" i="7"/>
  <c r="K113" i="7"/>
  <c r="H127" i="7"/>
  <c r="L43" i="7"/>
  <c r="G71" i="7"/>
  <c r="H113" i="7"/>
  <c r="L92" i="7"/>
  <c r="G64" i="7"/>
  <c r="C71" i="7"/>
  <c r="D36" i="7"/>
  <c r="L36" i="7"/>
  <c r="L106" i="7"/>
  <c r="C127" i="7"/>
  <c r="D127" i="7"/>
  <c r="I92" i="7"/>
  <c r="E64" i="7"/>
  <c r="I113" i="7"/>
  <c r="K120" i="7"/>
  <c r="E50" i="7"/>
  <c r="C36" i="7"/>
  <c r="C50" i="7"/>
  <c r="C106" i="7"/>
  <c r="I36" i="7"/>
  <c r="H57" i="7"/>
  <c r="H92" i="7"/>
  <c r="H106" i="7"/>
  <c r="J120" i="7"/>
  <c r="I99" i="7"/>
  <c r="J64" i="7"/>
  <c r="I43" i="7"/>
  <c r="I120" i="7"/>
  <c r="L99" i="7"/>
  <c r="E92" i="7"/>
  <c r="H71" i="7"/>
  <c r="K50" i="7"/>
  <c r="D43" i="7"/>
  <c r="E113" i="7"/>
  <c r="G99" i="7"/>
  <c r="F78" i="7"/>
  <c r="G43" i="7"/>
  <c r="G120" i="7"/>
  <c r="I106" i="7"/>
  <c r="K92" i="7"/>
  <c r="D106" i="7"/>
  <c r="F85" i="7"/>
  <c r="J43" i="7"/>
  <c r="D50" i="7"/>
  <c r="C92" i="7"/>
  <c r="L85" i="7"/>
  <c r="K57" i="7"/>
  <c r="K106" i="7"/>
  <c r="G78" i="7"/>
  <c r="G127" i="7"/>
  <c r="C43" i="7"/>
  <c r="C99" i="7"/>
  <c r="H36" i="7"/>
  <c r="D85" i="7"/>
  <c r="L78" i="7"/>
  <c r="G113" i="7"/>
  <c r="G57" i="7"/>
  <c r="G106" i="7"/>
  <c r="L71" i="7"/>
  <c r="H43" i="7"/>
  <c r="K99" i="7"/>
  <c r="K43" i="7"/>
  <c r="D120" i="7"/>
  <c r="H85" i="7"/>
  <c r="L57" i="7"/>
  <c r="H50" i="7"/>
  <c r="C78" i="7"/>
  <c r="E36" i="7"/>
  <c r="E106" i="7"/>
  <c r="K85" i="7"/>
  <c r="C57" i="7"/>
  <c r="C85" i="7"/>
  <c r="C113" i="7"/>
  <c r="F36" i="7"/>
  <c r="J36" i="7"/>
  <c r="D113" i="7"/>
  <c r="D57" i="7"/>
  <c r="D78" i="7"/>
  <c r="I127" i="7"/>
  <c r="F99" i="7"/>
  <c r="H64" i="7"/>
  <c r="F120" i="7"/>
  <c r="E99" i="7"/>
  <c r="G85" i="7"/>
  <c r="F64" i="7"/>
  <c r="L127" i="7"/>
  <c r="E120" i="7"/>
  <c r="H99" i="7"/>
  <c r="K78" i="7"/>
  <c r="D71" i="7"/>
  <c r="G50" i="7"/>
  <c r="K127" i="7"/>
  <c r="J106" i="7"/>
  <c r="I85" i="7"/>
  <c r="K71" i="7"/>
  <c r="J50" i="7"/>
  <c r="J127" i="7"/>
  <c r="L113" i="7"/>
  <c r="E127" i="7"/>
  <c r="G92" i="7"/>
  <c r="I78" i="7"/>
  <c r="K64" i="7"/>
  <c r="D64" i="7"/>
  <c r="F57" i="7"/>
  <c r="E43" i="7"/>
  <c r="F22" i="7"/>
  <c r="F29" i="7"/>
  <c r="J22" i="7"/>
  <c r="J29" i="7"/>
  <c r="C29" i="7"/>
  <c r="I22" i="7"/>
  <c r="I29" i="7"/>
  <c r="G29" i="7"/>
  <c r="G22" i="7"/>
  <c r="K22" i="7"/>
  <c r="K29" i="7"/>
  <c r="E29" i="7"/>
  <c r="C22" i="7"/>
  <c r="D29" i="7"/>
  <c r="D22" i="7"/>
  <c r="H29" i="7"/>
  <c r="H22" i="7"/>
  <c r="L29" i="7"/>
  <c r="L22" i="7"/>
  <c r="L22" i="5"/>
  <c r="T22" i="5"/>
  <c r="G43" i="5"/>
  <c r="D50" i="5"/>
  <c r="P50" i="5"/>
  <c r="C36" i="5"/>
  <c r="K36" i="5"/>
  <c r="O36" i="5"/>
  <c r="S36" i="5"/>
  <c r="H22" i="5"/>
  <c r="C58" i="12"/>
  <c r="F14" i="6" l="1"/>
  <c r="E14" i="6"/>
  <c r="D14" i="6"/>
  <c r="C14" i="6"/>
  <c r="P14" i="6"/>
  <c r="O14" i="6"/>
  <c r="N14" i="6"/>
  <c r="M14" i="6"/>
  <c r="L14" i="6"/>
  <c r="K14" i="6"/>
  <c r="J14" i="6"/>
  <c r="I14" i="6"/>
  <c r="H14" i="6"/>
  <c r="C14" i="9"/>
  <c r="D91" i="6"/>
  <c r="C91" i="6"/>
  <c r="P84" i="6"/>
  <c r="D84" i="6"/>
  <c r="C84" i="6"/>
  <c r="D77" i="6"/>
  <c r="C77" i="6"/>
  <c r="P70" i="6"/>
  <c r="D70" i="6"/>
  <c r="C70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P49" i="6"/>
  <c r="L49" i="6"/>
  <c r="K49" i="6"/>
  <c r="J49" i="6"/>
  <c r="I49" i="6"/>
  <c r="H49" i="6"/>
  <c r="G49" i="6"/>
  <c r="F49" i="6"/>
  <c r="D49" i="6"/>
  <c r="C49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G14" i="6"/>
  <c r="C106" i="6" l="1"/>
  <c r="C113" i="6"/>
  <c r="D113" i="6"/>
  <c r="D106" i="6"/>
  <c r="N29" i="6"/>
  <c r="J29" i="6"/>
  <c r="G22" i="6"/>
  <c r="I29" i="6"/>
  <c r="E29" i="6"/>
  <c r="M29" i="6"/>
  <c r="F29" i="6"/>
  <c r="C99" i="6"/>
  <c r="D99" i="6"/>
  <c r="G36" i="6"/>
  <c r="H36" i="6"/>
  <c r="K36" i="6"/>
  <c r="L36" i="6"/>
  <c r="O36" i="6"/>
  <c r="P36" i="6"/>
  <c r="J57" i="6"/>
  <c r="C22" i="6"/>
  <c r="G64" i="6"/>
  <c r="E43" i="6"/>
  <c r="I43" i="6"/>
  <c r="M43" i="6"/>
  <c r="G50" i="6"/>
  <c r="K50" i="6"/>
  <c r="K64" i="6"/>
  <c r="N43" i="6"/>
  <c r="L50" i="6"/>
  <c r="H64" i="6"/>
  <c r="P64" i="6"/>
  <c r="K29" i="6"/>
  <c r="O29" i="6"/>
  <c r="E36" i="6"/>
  <c r="K43" i="6"/>
  <c r="O43" i="6"/>
  <c r="H57" i="6"/>
  <c r="J43" i="6"/>
  <c r="H50" i="6"/>
  <c r="P50" i="6"/>
  <c r="K57" i="6"/>
  <c r="L64" i="6"/>
  <c r="D29" i="6"/>
  <c r="H29" i="6"/>
  <c r="L29" i="6"/>
  <c r="P29" i="6"/>
  <c r="F36" i="6"/>
  <c r="J36" i="6"/>
  <c r="N36" i="6"/>
  <c r="H43" i="6"/>
  <c r="L43" i="6"/>
  <c r="P43" i="6"/>
  <c r="J50" i="6"/>
  <c r="P57" i="6"/>
  <c r="J64" i="6"/>
  <c r="P71" i="6"/>
  <c r="F22" i="6"/>
  <c r="G57" i="6"/>
  <c r="C29" i="6"/>
  <c r="G29" i="6"/>
  <c r="I36" i="6"/>
  <c r="M36" i="6"/>
  <c r="G43" i="6"/>
  <c r="I50" i="6"/>
  <c r="I64" i="6"/>
  <c r="I57" i="6"/>
  <c r="L57" i="6"/>
  <c r="D43" i="6"/>
  <c r="D85" i="6"/>
  <c r="D36" i="6"/>
  <c r="D64" i="6"/>
  <c r="D78" i="6"/>
  <c r="D50" i="6"/>
  <c r="D92" i="6"/>
  <c r="D57" i="6"/>
  <c r="D71" i="6"/>
  <c r="H22" i="6"/>
  <c r="L22" i="6"/>
  <c r="P22" i="6"/>
  <c r="I22" i="6"/>
  <c r="M22" i="6"/>
  <c r="J22" i="6"/>
  <c r="N22" i="6"/>
  <c r="D22" i="6"/>
  <c r="K22" i="6"/>
  <c r="O22" i="6"/>
  <c r="E22" i="6"/>
  <c r="C92" i="6"/>
  <c r="F57" i="6"/>
  <c r="F64" i="6"/>
  <c r="F43" i="6"/>
  <c r="F50" i="6"/>
  <c r="C29" i="9"/>
  <c r="C36" i="9"/>
  <c r="C43" i="9"/>
  <c r="C15" i="9"/>
  <c r="C22" i="9"/>
  <c r="C43" i="6"/>
  <c r="C57" i="6"/>
  <c r="C71" i="6"/>
  <c r="C85" i="6"/>
  <c r="C36" i="6"/>
  <c r="C50" i="6"/>
  <c r="C64" i="6"/>
  <c r="C78" i="6"/>
  <c r="C2" i="12"/>
  <c r="C21" i="3" l="1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E14" i="3"/>
  <c r="F14" i="3"/>
  <c r="D14" i="3"/>
  <c r="C14" i="3"/>
  <c r="P87" i="9"/>
  <c r="P91" i="9" s="1"/>
  <c r="O87" i="9"/>
  <c r="O91" i="9" s="1"/>
  <c r="N87" i="9"/>
  <c r="N91" i="9" s="1"/>
  <c r="M87" i="9"/>
  <c r="M91" i="9" s="1"/>
  <c r="L87" i="9"/>
  <c r="L91" i="9" s="1"/>
  <c r="K87" i="9"/>
  <c r="K91" i="9" s="1"/>
  <c r="J87" i="9"/>
  <c r="J91" i="9" s="1"/>
  <c r="I87" i="9"/>
  <c r="I91" i="9" s="1"/>
  <c r="H87" i="9"/>
  <c r="H91" i="9" s="1"/>
  <c r="G87" i="9"/>
  <c r="G91" i="9" s="1"/>
  <c r="F87" i="9"/>
  <c r="F91" i="9" s="1"/>
  <c r="E87" i="9"/>
  <c r="E91" i="9" s="1"/>
  <c r="D87" i="9"/>
  <c r="D91" i="9" s="1"/>
  <c r="C87" i="9"/>
  <c r="C91" i="9" s="1"/>
  <c r="P80" i="9"/>
  <c r="P84" i="9" s="1"/>
  <c r="O80" i="9"/>
  <c r="O84" i="9" s="1"/>
  <c r="N80" i="9"/>
  <c r="N84" i="9" s="1"/>
  <c r="M80" i="9"/>
  <c r="M84" i="9" s="1"/>
  <c r="L80" i="9"/>
  <c r="L84" i="9" s="1"/>
  <c r="K80" i="9"/>
  <c r="K84" i="9" s="1"/>
  <c r="J80" i="9"/>
  <c r="J84" i="9" s="1"/>
  <c r="I80" i="9"/>
  <c r="I84" i="9" s="1"/>
  <c r="H80" i="9"/>
  <c r="H84" i="9" s="1"/>
  <c r="G80" i="9"/>
  <c r="G84" i="9" s="1"/>
  <c r="F80" i="9"/>
  <c r="F84" i="9" s="1"/>
  <c r="E80" i="9"/>
  <c r="E84" i="9" s="1"/>
  <c r="D80" i="9"/>
  <c r="D84" i="9" s="1"/>
  <c r="C80" i="9"/>
  <c r="C84" i="9" s="1"/>
  <c r="P73" i="9"/>
  <c r="P77" i="9" s="1"/>
  <c r="P78" i="9" s="1"/>
  <c r="O73" i="9"/>
  <c r="O77" i="9" s="1"/>
  <c r="N73" i="9"/>
  <c r="N77" i="9" s="1"/>
  <c r="N78" i="9" s="1"/>
  <c r="M73" i="9"/>
  <c r="M77" i="9" s="1"/>
  <c r="L73" i="9"/>
  <c r="L77" i="9" s="1"/>
  <c r="K73" i="9"/>
  <c r="K77" i="9" s="1"/>
  <c r="J73" i="9"/>
  <c r="J77" i="9" s="1"/>
  <c r="I73" i="9"/>
  <c r="I77" i="9" s="1"/>
  <c r="H73" i="9"/>
  <c r="H77" i="9" s="1"/>
  <c r="G73" i="9"/>
  <c r="G77" i="9" s="1"/>
  <c r="F73" i="9"/>
  <c r="F77" i="9" s="1"/>
  <c r="E73" i="9"/>
  <c r="E77" i="9" s="1"/>
  <c r="D73" i="9"/>
  <c r="D77" i="9" s="1"/>
  <c r="C73" i="9"/>
  <c r="C77" i="9" s="1"/>
  <c r="O66" i="9"/>
  <c r="O70" i="9" s="1"/>
  <c r="O71" i="9" s="1"/>
  <c r="M66" i="9"/>
  <c r="M70" i="9" s="1"/>
  <c r="M71" i="9" s="1"/>
  <c r="L66" i="9"/>
  <c r="L70" i="9" s="1"/>
  <c r="L71" i="9" s="1"/>
  <c r="K66" i="9"/>
  <c r="K70" i="9" s="1"/>
  <c r="K71" i="9" s="1"/>
  <c r="J66" i="9"/>
  <c r="J70" i="9" s="1"/>
  <c r="J71" i="9" s="1"/>
  <c r="I66" i="9"/>
  <c r="I70" i="9" s="1"/>
  <c r="H66" i="9"/>
  <c r="H70" i="9" s="1"/>
  <c r="G66" i="9"/>
  <c r="G70" i="9" s="1"/>
  <c r="F66" i="9"/>
  <c r="F70" i="9" s="1"/>
  <c r="E66" i="9"/>
  <c r="E70" i="9" s="1"/>
  <c r="D66" i="9"/>
  <c r="D70" i="9" s="1"/>
  <c r="C66" i="9"/>
  <c r="C70" i="9" s="1"/>
  <c r="I59" i="9"/>
  <c r="I63" i="9" s="1"/>
  <c r="H59" i="9"/>
  <c r="H63" i="9" s="1"/>
  <c r="G59" i="9"/>
  <c r="G63" i="9" s="1"/>
  <c r="G64" i="9" s="1"/>
  <c r="F59" i="9"/>
  <c r="F63" i="9" s="1"/>
  <c r="E59" i="9"/>
  <c r="E63" i="9" s="1"/>
  <c r="D59" i="9"/>
  <c r="D63" i="9" s="1"/>
  <c r="C59" i="9"/>
  <c r="C63" i="9" s="1"/>
  <c r="I52" i="9"/>
  <c r="I56" i="9" s="1"/>
  <c r="H52" i="9"/>
  <c r="H56" i="9" s="1"/>
  <c r="F52" i="9"/>
  <c r="F56" i="9" s="1"/>
  <c r="E52" i="9"/>
  <c r="E56" i="9" s="1"/>
  <c r="D52" i="9"/>
  <c r="D56" i="9" s="1"/>
  <c r="C52" i="9"/>
  <c r="C56" i="9" s="1"/>
  <c r="I45" i="9"/>
  <c r="I49" i="9" s="1"/>
  <c r="H45" i="9"/>
  <c r="H49" i="9" s="1"/>
  <c r="F45" i="9"/>
  <c r="F49" i="9" s="1"/>
  <c r="E45" i="9"/>
  <c r="E49" i="9" s="1"/>
  <c r="D45" i="9"/>
  <c r="D49" i="9" s="1"/>
  <c r="C45" i="9"/>
  <c r="C49" i="9" s="1"/>
  <c r="C50" i="9" s="1"/>
  <c r="I42" i="9"/>
  <c r="I43" i="9" s="1"/>
  <c r="H42" i="9"/>
  <c r="H43" i="9" s="1"/>
  <c r="F42" i="9"/>
  <c r="F43" i="9" s="1"/>
  <c r="E42" i="9"/>
  <c r="E43" i="9" s="1"/>
  <c r="D42" i="9"/>
  <c r="D43" i="9" s="1"/>
  <c r="P87" i="8"/>
  <c r="P91" i="8" s="1"/>
  <c r="O87" i="8"/>
  <c r="O91" i="8" s="1"/>
  <c r="N87" i="8"/>
  <c r="N91" i="8" s="1"/>
  <c r="M87" i="8"/>
  <c r="M91" i="8" s="1"/>
  <c r="L87" i="8"/>
  <c r="L91" i="8" s="1"/>
  <c r="K87" i="8"/>
  <c r="K91" i="8" s="1"/>
  <c r="J87" i="8"/>
  <c r="J91" i="8" s="1"/>
  <c r="I87" i="8"/>
  <c r="I91" i="8" s="1"/>
  <c r="H87" i="8"/>
  <c r="H91" i="8" s="1"/>
  <c r="G87" i="8"/>
  <c r="G91" i="8" s="1"/>
  <c r="F87" i="8"/>
  <c r="F91" i="8" s="1"/>
  <c r="E87" i="8"/>
  <c r="E91" i="8" s="1"/>
  <c r="D87" i="8"/>
  <c r="D91" i="8" s="1"/>
  <c r="C87" i="8"/>
  <c r="C91" i="8" s="1"/>
  <c r="P80" i="8"/>
  <c r="P84" i="8" s="1"/>
  <c r="O80" i="8"/>
  <c r="O84" i="8" s="1"/>
  <c r="N80" i="8"/>
  <c r="N84" i="8" s="1"/>
  <c r="M80" i="8"/>
  <c r="M84" i="8" s="1"/>
  <c r="L80" i="8"/>
  <c r="L84" i="8" s="1"/>
  <c r="K80" i="8"/>
  <c r="K84" i="8" s="1"/>
  <c r="J80" i="8"/>
  <c r="J84" i="8" s="1"/>
  <c r="I80" i="8"/>
  <c r="I84" i="8" s="1"/>
  <c r="H80" i="8"/>
  <c r="H84" i="8" s="1"/>
  <c r="G80" i="8"/>
  <c r="G84" i="8" s="1"/>
  <c r="F80" i="8"/>
  <c r="F84" i="8" s="1"/>
  <c r="E80" i="8"/>
  <c r="E84" i="8" s="1"/>
  <c r="D80" i="8"/>
  <c r="D84" i="8" s="1"/>
  <c r="C80" i="8"/>
  <c r="C84" i="8" s="1"/>
  <c r="P73" i="8"/>
  <c r="P77" i="8" s="1"/>
  <c r="O73" i="8"/>
  <c r="O77" i="8" s="1"/>
  <c r="N73" i="8"/>
  <c r="N77" i="8" s="1"/>
  <c r="M73" i="8"/>
  <c r="M77" i="8" s="1"/>
  <c r="L73" i="8"/>
  <c r="L77" i="8" s="1"/>
  <c r="K73" i="8"/>
  <c r="K77" i="8" s="1"/>
  <c r="J73" i="8"/>
  <c r="J77" i="8" s="1"/>
  <c r="I73" i="8"/>
  <c r="I77" i="8" s="1"/>
  <c r="H73" i="8"/>
  <c r="H77" i="8" s="1"/>
  <c r="G73" i="8"/>
  <c r="G77" i="8" s="1"/>
  <c r="F73" i="8"/>
  <c r="F77" i="8" s="1"/>
  <c r="E73" i="8"/>
  <c r="E77" i="8" s="1"/>
  <c r="D73" i="8"/>
  <c r="D77" i="8" s="1"/>
  <c r="C73" i="8"/>
  <c r="C77" i="8" s="1"/>
  <c r="O66" i="8"/>
  <c r="O70" i="8" s="1"/>
  <c r="M66" i="8"/>
  <c r="M70" i="8" s="1"/>
  <c r="L66" i="8"/>
  <c r="L70" i="8" s="1"/>
  <c r="K66" i="8"/>
  <c r="K70" i="8" s="1"/>
  <c r="J66" i="8"/>
  <c r="J70" i="8" s="1"/>
  <c r="I66" i="8"/>
  <c r="I70" i="8" s="1"/>
  <c r="H66" i="8"/>
  <c r="H70" i="8" s="1"/>
  <c r="G66" i="8"/>
  <c r="G70" i="8" s="1"/>
  <c r="F66" i="8"/>
  <c r="F70" i="8" s="1"/>
  <c r="E66" i="8"/>
  <c r="E70" i="8" s="1"/>
  <c r="D66" i="8"/>
  <c r="D70" i="8" s="1"/>
  <c r="C66" i="8"/>
  <c r="C70" i="8" s="1"/>
  <c r="I59" i="8"/>
  <c r="I63" i="8" s="1"/>
  <c r="H59" i="8"/>
  <c r="H63" i="8" s="1"/>
  <c r="G59" i="8"/>
  <c r="G63" i="8" s="1"/>
  <c r="F59" i="8"/>
  <c r="F63" i="8" s="1"/>
  <c r="E59" i="8"/>
  <c r="E63" i="8" s="1"/>
  <c r="D59" i="8"/>
  <c r="D63" i="8" s="1"/>
  <c r="C59" i="8"/>
  <c r="C63" i="8" s="1"/>
  <c r="I52" i="8"/>
  <c r="I56" i="8" s="1"/>
  <c r="H52" i="8"/>
  <c r="H56" i="8" s="1"/>
  <c r="F52" i="8"/>
  <c r="F56" i="8" s="1"/>
  <c r="E52" i="8"/>
  <c r="E56" i="8" s="1"/>
  <c r="D52" i="8"/>
  <c r="D56" i="8" s="1"/>
  <c r="C56" i="8"/>
  <c r="I49" i="8"/>
  <c r="H45" i="8"/>
  <c r="H49" i="8" s="1"/>
  <c r="F49" i="8"/>
  <c r="E45" i="8"/>
  <c r="E49" i="8" s="1"/>
  <c r="D45" i="8"/>
  <c r="D49" i="8" s="1"/>
  <c r="C49" i="8"/>
  <c r="I42" i="8"/>
  <c r="H38" i="8"/>
  <c r="H42" i="8" s="1"/>
  <c r="F42" i="8"/>
  <c r="E38" i="8"/>
  <c r="E42" i="8" s="1"/>
  <c r="D38" i="8"/>
  <c r="D42" i="8" s="1"/>
  <c r="D31" i="8"/>
  <c r="D35" i="8" s="1"/>
  <c r="P22" i="8"/>
  <c r="O22" i="8"/>
  <c r="N22" i="8"/>
  <c r="L22" i="8"/>
  <c r="K22" i="8"/>
  <c r="J22" i="8"/>
  <c r="I22" i="8"/>
  <c r="H22" i="8"/>
  <c r="G22" i="8"/>
  <c r="F22" i="8"/>
  <c r="D22" i="8"/>
  <c r="C22" i="8"/>
  <c r="P91" i="6"/>
  <c r="O91" i="6"/>
  <c r="N91" i="6"/>
  <c r="M91" i="6"/>
  <c r="L91" i="6"/>
  <c r="K91" i="6"/>
  <c r="J91" i="6"/>
  <c r="I91" i="6"/>
  <c r="H91" i="6"/>
  <c r="G91" i="6"/>
  <c r="F91" i="6"/>
  <c r="E91" i="6"/>
  <c r="O84" i="6"/>
  <c r="N84" i="6"/>
  <c r="M84" i="6"/>
  <c r="L84" i="6"/>
  <c r="K84" i="6"/>
  <c r="J84" i="6"/>
  <c r="I84" i="6"/>
  <c r="H84" i="6"/>
  <c r="G84" i="6"/>
  <c r="F84" i="6"/>
  <c r="E84" i="6"/>
  <c r="P73" i="6"/>
  <c r="P77" i="6" s="1"/>
  <c r="O77" i="6"/>
  <c r="N77" i="6"/>
  <c r="M77" i="6"/>
  <c r="L77" i="6"/>
  <c r="K77" i="6"/>
  <c r="J77" i="6"/>
  <c r="I77" i="6"/>
  <c r="H77" i="6"/>
  <c r="G77" i="6"/>
  <c r="F77" i="6"/>
  <c r="E77" i="6"/>
  <c r="O70" i="6"/>
  <c r="N70" i="6"/>
  <c r="M70" i="6"/>
  <c r="L70" i="6"/>
  <c r="K70" i="6"/>
  <c r="J70" i="6"/>
  <c r="I70" i="6"/>
  <c r="H70" i="6"/>
  <c r="G70" i="6"/>
  <c r="F70" i="6"/>
  <c r="E70" i="6"/>
  <c r="O49" i="6"/>
  <c r="N49" i="6"/>
  <c r="M45" i="6"/>
  <c r="M49" i="6" s="1"/>
  <c r="E49" i="6"/>
  <c r="L106" i="6" l="1"/>
  <c r="L113" i="6"/>
  <c r="O113" i="6"/>
  <c r="O106" i="6"/>
  <c r="N113" i="6"/>
  <c r="N106" i="6"/>
  <c r="G106" i="6"/>
  <c r="G113" i="6"/>
  <c r="H106" i="6"/>
  <c r="H113" i="6"/>
  <c r="P106" i="6"/>
  <c r="P113" i="6"/>
  <c r="E113" i="6"/>
  <c r="E106" i="6"/>
  <c r="I113" i="6"/>
  <c r="I106" i="6"/>
  <c r="J106" i="6"/>
  <c r="J113" i="6"/>
  <c r="M106" i="6"/>
  <c r="M113" i="6"/>
  <c r="F113" i="6"/>
  <c r="F106" i="6"/>
  <c r="K113" i="6"/>
  <c r="K106" i="6"/>
  <c r="M99" i="6"/>
  <c r="E99" i="6"/>
  <c r="F99" i="6"/>
  <c r="G99" i="6"/>
  <c r="H99" i="6"/>
  <c r="I99" i="6"/>
  <c r="J99" i="6"/>
  <c r="K99" i="6"/>
  <c r="L99" i="6"/>
  <c r="N99" i="6"/>
  <c r="O99" i="6"/>
  <c r="P99" i="6"/>
  <c r="F85" i="6"/>
  <c r="H85" i="6"/>
  <c r="J85" i="6"/>
  <c r="L85" i="6"/>
  <c r="I64" i="8"/>
  <c r="F50" i="9"/>
  <c r="H50" i="9"/>
  <c r="C71" i="9"/>
  <c r="G71" i="9"/>
  <c r="O78" i="9"/>
  <c r="E85" i="9"/>
  <c r="J85" i="9"/>
  <c r="M85" i="9"/>
  <c r="N85" i="9"/>
  <c r="F71" i="8"/>
  <c r="G78" i="6"/>
  <c r="G71" i="6"/>
  <c r="K78" i="6"/>
  <c r="K71" i="6"/>
  <c r="O78" i="6"/>
  <c r="O71" i="6"/>
  <c r="P85" i="6"/>
  <c r="P78" i="6"/>
  <c r="H92" i="6"/>
  <c r="L92" i="6"/>
  <c r="O57" i="6"/>
  <c r="O64" i="6"/>
  <c r="O50" i="6"/>
  <c r="H78" i="6"/>
  <c r="H71" i="6"/>
  <c r="L78" i="6"/>
  <c r="L71" i="6"/>
  <c r="E85" i="6"/>
  <c r="I85" i="6"/>
  <c r="M85" i="6"/>
  <c r="E92" i="6"/>
  <c r="I92" i="6"/>
  <c r="M92" i="6"/>
  <c r="N57" i="6"/>
  <c r="N64" i="6"/>
  <c r="N50" i="6"/>
  <c r="E57" i="6"/>
  <c r="E50" i="6"/>
  <c r="E64" i="6"/>
  <c r="E78" i="6"/>
  <c r="E71" i="6"/>
  <c r="I78" i="6"/>
  <c r="I71" i="6"/>
  <c r="M78" i="6"/>
  <c r="M71" i="6"/>
  <c r="N85" i="6"/>
  <c r="F92" i="6"/>
  <c r="J92" i="6"/>
  <c r="N92" i="6"/>
  <c r="M57" i="6"/>
  <c r="M64" i="6"/>
  <c r="M50" i="6"/>
  <c r="F71" i="6"/>
  <c r="F78" i="6"/>
  <c r="J78" i="6"/>
  <c r="J71" i="6"/>
  <c r="N78" i="6"/>
  <c r="N71" i="6"/>
  <c r="G85" i="6"/>
  <c r="K85" i="6"/>
  <c r="O85" i="6"/>
  <c r="G92" i="6"/>
  <c r="K92" i="6"/>
  <c r="O92" i="6"/>
  <c r="P92" i="6"/>
  <c r="C22" i="3"/>
  <c r="E71" i="8"/>
  <c r="C78" i="8"/>
  <c r="I57" i="9"/>
  <c r="F64" i="9"/>
  <c r="C78" i="9"/>
  <c r="K78" i="9"/>
  <c r="G92" i="9"/>
  <c r="K92" i="9"/>
  <c r="E57" i="9"/>
  <c r="C64" i="9"/>
  <c r="D71" i="9"/>
  <c r="H78" i="9"/>
  <c r="L78" i="9"/>
  <c r="F85" i="9"/>
  <c r="H92" i="9"/>
  <c r="P92" i="9"/>
  <c r="D50" i="9"/>
  <c r="I50" i="9"/>
  <c r="F57" i="9"/>
  <c r="D64" i="9"/>
  <c r="H64" i="9"/>
  <c r="E71" i="9"/>
  <c r="I71" i="9"/>
  <c r="E78" i="9"/>
  <c r="I78" i="9"/>
  <c r="M78" i="9"/>
  <c r="C85" i="9"/>
  <c r="G85" i="9"/>
  <c r="K85" i="9"/>
  <c r="O85" i="9"/>
  <c r="E92" i="9"/>
  <c r="I92" i="9"/>
  <c r="M92" i="9"/>
  <c r="D57" i="9"/>
  <c r="G78" i="9"/>
  <c r="I85" i="9"/>
  <c r="C92" i="9"/>
  <c r="O92" i="9"/>
  <c r="H71" i="9"/>
  <c r="D78" i="9"/>
  <c r="D92" i="9"/>
  <c r="L92" i="9"/>
  <c r="E50" i="9"/>
  <c r="C57" i="9"/>
  <c r="H57" i="9"/>
  <c r="E64" i="9"/>
  <c r="I64" i="9"/>
  <c r="F71" i="9"/>
  <c r="F78" i="9"/>
  <c r="J78" i="9"/>
  <c r="D85" i="9"/>
  <c r="H85" i="9"/>
  <c r="L85" i="9"/>
  <c r="P85" i="9"/>
  <c r="F92" i="9"/>
  <c r="J92" i="9"/>
  <c r="N92" i="9"/>
  <c r="D64" i="8"/>
  <c r="G78" i="8"/>
  <c r="G71" i="8"/>
  <c r="G64" i="8"/>
  <c r="D85" i="8"/>
  <c r="H85" i="8"/>
  <c r="L85" i="8"/>
  <c r="L78" i="8"/>
  <c r="L71" i="8"/>
  <c r="D92" i="8"/>
  <c r="H92" i="8"/>
  <c r="L92" i="8"/>
  <c r="P92" i="8"/>
  <c r="P78" i="8"/>
  <c r="P85" i="8"/>
  <c r="E64" i="8"/>
  <c r="D78" i="8"/>
  <c r="H78" i="8"/>
  <c r="E85" i="8"/>
  <c r="I85" i="8"/>
  <c r="M85" i="8"/>
  <c r="M71" i="8"/>
  <c r="M78" i="8"/>
  <c r="E92" i="8"/>
  <c r="I92" i="8"/>
  <c r="M92" i="8"/>
  <c r="F64" i="8"/>
  <c r="C71" i="8"/>
  <c r="H71" i="8"/>
  <c r="E78" i="8"/>
  <c r="I78" i="8"/>
  <c r="F85" i="8"/>
  <c r="J85" i="8"/>
  <c r="J71" i="8"/>
  <c r="J78" i="8"/>
  <c r="O71" i="8"/>
  <c r="O85" i="8"/>
  <c r="O78" i="8"/>
  <c r="F92" i="8"/>
  <c r="J92" i="8"/>
  <c r="N92" i="8"/>
  <c r="N85" i="8"/>
  <c r="N78" i="8"/>
  <c r="C64" i="8"/>
  <c r="H64" i="8"/>
  <c r="D71" i="8"/>
  <c r="I71" i="8"/>
  <c r="F78" i="8"/>
  <c r="C85" i="8"/>
  <c r="G85" i="8"/>
  <c r="K85" i="8"/>
  <c r="K71" i="8"/>
  <c r="K78" i="8"/>
  <c r="C92" i="8"/>
  <c r="G92" i="8"/>
  <c r="K92" i="8"/>
  <c r="O92" i="8"/>
  <c r="D57" i="8"/>
  <c r="I57" i="8"/>
  <c r="I50" i="8"/>
  <c r="I43" i="8"/>
  <c r="E57" i="8"/>
  <c r="E50" i="8"/>
  <c r="E43" i="8"/>
  <c r="D50" i="8"/>
  <c r="D43" i="8"/>
  <c r="D36" i="8"/>
  <c r="H43" i="8"/>
  <c r="H57" i="8"/>
  <c r="H50" i="8"/>
  <c r="F57" i="8"/>
  <c r="F50" i="8"/>
  <c r="F43" i="8"/>
  <c r="C57" i="8"/>
  <c r="C50" i="8"/>
  <c r="E22" i="8"/>
  <c r="M22" i="8"/>
  <c r="F43" i="3"/>
  <c r="F50" i="3"/>
  <c r="F57" i="3"/>
  <c r="F64" i="3"/>
  <c r="M64" i="3"/>
  <c r="M43" i="3"/>
  <c r="M57" i="3"/>
  <c r="M50" i="3"/>
  <c r="E64" i="3"/>
  <c r="E57" i="3"/>
  <c r="E43" i="3"/>
  <c r="E50" i="3"/>
  <c r="J64" i="3"/>
  <c r="J43" i="3"/>
  <c r="J57" i="3"/>
  <c r="J50" i="3"/>
  <c r="R50" i="3"/>
  <c r="R64" i="3"/>
  <c r="R57" i="3"/>
  <c r="R43" i="3"/>
  <c r="G64" i="3"/>
  <c r="G50" i="3"/>
  <c r="G57" i="3"/>
  <c r="G43" i="3"/>
  <c r="K57" i="3"/>
  <c r="K43" i="3"/>
  <c r="K64" i="3"/>
  <c r="K50" i="3"/>
  <c r="O50" i="3"/>
  <c r="O57" i="3"/>
  <c r="O64" i="3"/>
  <c r="O43" i="3"/>
  <c r="S43" i="3"/>
  <c r="S64" i="3"/>
  <c r="S50" i="3"/>
  <c r="S57" i="3"/>
  <c r="I50" i="3"/>
  <c r="I57" i="3"/>
  <c r="I43" i="3"/>
  <c r="I64" i="3"/>
  <c r="Q57" i="3"/>
  <c r="Q64" i="3"/>
  <c r="Q50" i="3"/>
  <c r="Q43" i="3"/>
  <c r="N57" i="3"/>
  <c r="N43" i="3"/>
  <c r="N64" i="3"/>
  <c r="N50" i="3"/>
  <c r="D57" i="3"/>
  <c r="D64" i="3"/>
  <c r="D43" i="3"/>
  <c r="D50" i="3"/>
  <c r="H57" i="3"/>
  <c r="H43" i="3"/>
  <c r="H64" i="3"/>
  <c r="H50" i="3"/>
  <c r="L50" i="3"/>
  <c r="L57" i="3"/>
  <c r="L43" i="3"/>
  <c r="L64" i="3"/>
  <c r="P64" i="3"/>
  <c r="P43" i="3"/>
  <c r="P50" i="3"/>
  <c r="P57" i="3"/>
  <c r="C43" i="3"/>
  <c r="C57" i="3"/>
  <c r="C50" i="3"/>
  <c r="C64" i="3"/>
  <c r="G36" i="3"/>
  <c r="G22" i="3"/>
  <c r="G29" i="3"/>
  <c r="S22" i="3"/>
  <c r="S36" i="3"/>
  <c r="S29" i="3"/>
  <c r="D22" i="3"/>
  <c r="D29" i="3"/>
  <c r="D36" i="3"/>
  <c r="H22" i="3"/>
  <c r="H29" i="3"/>
  <c r="H36" i="3"/>
  <c r="L22" i="3"/>
  <c r="L36" i="3"/>
  <c r="L29" i="3"/>
  <c r="P22" i="3"/>
  <c r="P29" i="3"/>
  <c r="P36" i="3"/>
  <c r="C36" i="3"/>
  <c r="C29" i="3"/>
  <c r="O22" i="3"/>
  <c r="O36" i="3"/>
  <c r="O29" i="3"/>
  <c r="F22" i="3"/>
  <c r="F29" i="3"/>
  <c r="F36" i="3"/>
  <c r="I22" i="3"/>
  <c r="I29" i="3"/>
  <c r="I36" i="3"/>
  <c r="M22" i="3"/>
  <c r="M36" i="3"/>
  <c r="M29" i="3"/>
  <c r="Q22" i="3"/>
  <c r="Q36" i="3"/>
  <c r="Q29" i="3"/>
  <c r="K22" i="3"/>
  <c r="K36" i="3"/>
  <c r="K29" i="3"/>
  <c r="E22" i="3"/>
  <c r="E36" i="3"/>
  <c r="E29" i="3"/>
  <c r="J22" i="3"/>
  <c r="J29" i="3"/>
  <c r="J36" i="3"/>
  <c r="N22" i="3"/>
  <c r="N29" i="3"/>
  <c r="N36" i="3"/>
  <c r="R22" i="3"/>
  <c r="R36" i="3"/>
  <c r="R29" i="3"/>
  <c r="C16" i="12"/>
  <c r="C27" i="12"/>
  <c r="C26" i="12"/>
</calcChain>
</file>

<file path=xl/sharedStrings.xml><?xml version="1.0" encoding="utf-8"?>
<sst xmlns="http://schemas.openxmlformats.org/spreadsheetml/2006/main" count="5870" uniqueCount="551">
  <si>
    <t>Pump tag</t>
  </si>
  <si>
    <t>Pump Components</t>
  </si>
  <si>
    <t>Average Runtime (h)</t>
  </si>
  <si>
    <t>3350-PU-731</t>
  </si>
  <si>
    <t xml:space="preserve">Casing
UM400-010-00001
</t>
  </si>
  <si>
    <t xml:space="preserve">Casing  O-Ring - Hub Plate Adapter
UM400-226-28001
</t>
  </si>
  <si>
    <t>Hub Plate Adapter
UM400-099-10EQR</t>
  </si>
  <si>
    <t>Backliner
UM400-041-26001</t>
  </si>
  <si>
    <t xml:space="preserve">Stuffing Box 
mm500-078-12MME
</t>
  </si>
  <si>
    <t xml:space="preserve">Stuffing box Gasket
mm600-122-29069
</t>
  </si>
  <si>
    <t>Shaft Sleeve
mm600-175R18EQR</t>
  </si>
  <si>
    <t>Sleeve spacer Gasket
mm500-108-29EQR</t>
  </si>
  <si>
    <t>Packing
mm500-111-43104</t>
  </si>
  <si>
    <t>Impeller
UM400-447-00MME</t>
  </si>
  <si>
    <t>SUCTION LINER ASM 
UM400-142-26701</t>
  </si>
  <si>
    <t>Suction Liner O-Ring
UM400-226-28001
со стороны всаса</t>
  </si>
  <si>
    <t xml:space="preserve">Casing  O-Ring, Hub Plate Adapter
UM400-126-28001
</t>
  </si>
  <si>
    <t xml:space="preserve">Wear Ring 807
UM400-083-07001
</t>
  </si>
  <si>
    <t>3430-PU-721</t>
  </si>
  <si>
    <t>Gland side casing liner
RM200-013-26001</t>
  </si>
  <si>
    <t>Suction side casing liner
RM200-014-26001</t>
  </si>
  <si>
    <t>Suction liner
RM200-042-26001</t>
  </si>
  <si>
    <t>Release collar
MMB-239-10001</t>
  </si>
  <si>
    <t>Impeller 4 vane
RM200-447-00013</t>
  </si>
  <si>
    <t>Impeller_Expeller gasket
MM250-017-29008</t>
  </si>
  <si>
    <t>Neck ring
MM150-064-18001</t>
  </si>
  <si>
    <t>Shaft seal o-ring
MM250-019-28015</t>
  </si>
  <si>
    <t>Stuffing box
RM200-078-12MMB</t>
  </si>
  <si>
    <t>Wear ring
RM200-083-00001</t>
  </si>
  <si>
    <t>Packing
MM150-111L42104</t>
  </si>
  <si>
    <t>Shaft sleeve
MM150-175-18013</t>
  </si>
  <si>
    <t>Stuffing box plug
MM250-399-10001</t>
  </si>
  <si>
    <t>Close nipple
PF-CN-5-SS</t>
  </si>
  <si>
    <t>Elbow 45◦
PF-45-5-SS</t>
  </si>
  <si>
    <t>Wear ring screw
MM200-084-10001</t>
  </si>
  <si>
    <t>Lantern ring
MM150-063-16001</t>
  </si>
  <si>
    <t>3421-PU-735</t>
  </si>
  <si>
    <t>Suction liner
MM500-042-00300</t>
  </si>
  <si>
    <t>Suction liner O-ring
MM500-226-28100</t>
  </si>
  <si>
    <t>Casing
MM500-010-00102</t>
  </si>
  <si>
    <t>Casing O-ring
MM500-126-28100</t>
  </si>
  <si>
    <t>Joint discharge (150)
MM450-060-26049</t>
  </si>
  <si>
    <t>Joint intake (150)
MM500-060-26049</t>
  </si>
  <si>
    <t>Stuffing box gasket
MM600-122-29069</t>
  </si>
  <si>
    <t>Impeller 4 vane
MM500-447-30MMD</t>
  </si>
  <si>
    <t>Impeller gasket
MM500-018-29MMD</t>
  </si>
  <si>
    <t>Lantern bushing
MM500-118-00069</t>
  </si>
  <si>
    <t>Sleeve spacer gasket
MM500-108-29MMD</t>
  </si>
  <si>
    <t>Stuffing box
MM500-078-12MME</t>
  </si>
  <si>
    <t>Wear ring
MM500-083-00301</t>
  </si>
  <si>
    <t>Packing 4-ring set
MM500-111-43104</t>
  </si>
  <si>
    <t>Shaft sleeve
MM500-175-18MMD</t>
  </si>
  <si>
    <t>Casing_hub plate gasket
MM500-061-26100</t>
  </si>
  <si>
    <t>Wear ring carrier
MM500-124-35001</t>
  </si>
  <si>
    <t>Wear ring screw
MM500-084-10101</t>
  </si>
  <si>
    <t>Suction liner Asm.
MM500-142-00301</t>
  </si>
  <si>
    <t>3445-PU-761</t>
  </si>
  <si>
    <t>Backliner
MM250-041-00001</t>
  </si>
  <si>
    <t>Casing
MM200-010-00001</t>
  </si>
  <si>
    <t>Impeller-4 vane
MM200-447-00013</t>
  </si>
  <si>
    <t>Stuffing Box
MM200-078-12013</t>
  </si>
  <si>
    <t>Wear Ring
MM200-083-00001</t>
  </si>
  <si>
    <t>Packing - 4 Ring set 
MM150-111L42104</t>
  </si>
  <si>
    <t>Shaft Sleeve
MM150-175-18013</t>
  </si>
  <si>
    <t>Wear Ring Carrier
MM200-124-35001</t>
  </si>
  <si>
    <t>Release Collar
MMB-239-10001</t>
  </si>
  <si>
    <t>CASING ASSEMBLY
MM200-110-00001</t>
  </si>
  <si>
    <t>3315-PU-704</t>
  </si>
  <si>
    <t>Casing
UM400-010-00001</t>
  </si>
  <si>
    <t>Casing O-ring
UM400-126-28001</t>
  </si>
  <si>
    <t>HUB PLATE ADAPTER
UM400-099-10EQR</t>
  </si>
  <si>
    <t>SUCTION LINER ASM со стороны всаса
UM400-142-26701</t>
  </si>
  <si>
    <t>Suction Liner O-Ring
UM400-226-28001</t>
  </si>
  <si>
    <t>3315-PU-710</t>
  </si>
  <si>
    <t>3445-PU-757</t>
  </si>
  <si>
    <t>Neck Ring
MM150-064-18001</t>
  </si>
  <si>
    <t>Casing Assembley
MM200-110-00001</t>
  </si>
  <si>
    <t>3430-PU-724</t>
  </si>
  <si>
    <t>Backliner Seal
MM250-225-35001</t>
  </si>
  <si>
    <t>Casing Seal
MM250-125-35001</t>
  </si>
  <si>
    <t>Joint
MM150-060-26049</t>
  </si>
  <si>
    <t>Joint
MM200-060-26049</t>
  </si>
  <si>
    <t>Impeller gasket
MM250-017-29008</t>
  </si>
  <si>
    <t>Shaft Seal O-ring
MM250-019-28015</t>
  </si>
  <si>
    <t>Stuffing Box Plug
MM250-399-10001</t>
  </si>
  <si>
    <t>Stuffing Box Seal
MM250-122-35001</t>
  </si>
  <si>
    <t>Wear Ring Carriep
MM200-124-35001</t>
  </si>
  <si>
    <t>Wear Ring Screw
MM200-084-10001</t>
  </si>
  <si>
    <t>Overall 3350-PU-731</t>
  </si>
  <si>
    <t>Packing (MM150-111L42104)</t>
  </si>
  <si>
    <t>Part Number</t>
  </si>
  <si>
    <t>Average Runtime(h)</t>
  </si>
  <si>
    <t>Previous Replacement(h)</t>
  </si>
  <si>
    <t>Current МН DCS</t>
  </si>
  <si>
    <t>Next Part Change for MH</t>
  </si>
  <si>
    <t>Running time %</t>
  </si>
  <si>
    <t>Remaining life %</t>
  </si>
  <si>
    <t>39 040</t>
  </si>
  <si>
    <t>24 032</t>
  </si>
  <si>
    <t>29 850</t>
  </si>
  <si>
    <t>1 602</t>
  </si>
  <si>
    <t>23 839</t>
  </si>
  <si>
    <t>4 236</t>
  </si>
  <si>
    <t>Drawings : PG150-B43U09932</t>
  </si>
  <si>
    <t>General Arrangement :</t>
  </si>
  <si>
    <t>MM150-B43U09932 Pump 6x4-16 MMB millMAX</t>
  </si>
  <si>
    <t>Parts List :</t>
  </si>
  <si>
    <t>PA150-B43L00001-49</t>
  </si>
  <si>
    <t>TAG Number</t>
  </si>
  <si>
    <t>Serial Number</t>
  </si>
  <si>
    <t>Suction Liner assembly</t>
  </si>
  <si>
    <t>+ * MM150-110-00001</t>
  </si>
  <si>
    <t xml:space="preserve"> Корпус в сборе</t>
  </si>
  <si>
    <t>0521-PU-807</t>
  </si>
  <si>
    <t>KM09932</t>
  </si>
  <si>
    <t>PU-807</t>
  </si>
  <si>
    <t>Casing (MM150-010-00001)</t>
  </si>
  <si>
    <t>Casing  O-Ring (MM150-125-35001)</t>
  </si>
  <si>
    <t>Adapter (MM150-099-12MMB)</t>
  </si>
  <si>
    <r>
      <rPr>
        <sz val="11"/>
        <rFont val="Calibri"/>
        <family val="2"/>
        <scheme val="minor"/>
      </rPr>
      <t>Backliner (</t>
    </r>
    <r>
      <rPr>
        <sz val="11"/>
        <color theme="1"/>
        <rFont val="Calibri"/>
        <family val="2"/>
        <charset val="204"/>
        <scheme val="minor"/>
      </rPr>
      <t>MM150-041-00001)</t>
    </r>
  </si>
  <si>
    <t>Ring (MM150-225-35001)</t>
  </si>
  <si>
    <t>Adapter (MM100-060-26049)</t>
  </si>
  <si>
    <t>Adapter (MM150-060-26049)</t>
  </si>
  <si>
    <t>Impeller (MM150-447-00013)</t>
  </si>
  <si>
    <t>Impeller Gasket (MM150-018-29013)</t>
  </si>
  <si>
    <t>Washer (MM150-064-18001)</t>
  </si>
  <si>
    <t>Sleeve Spacer Gasket (MM250-019-28015)</t>
  </si>
  <si>
    <r>
      <rPr>
        <sz val="11"/>
        <rFont val="Calibri"/>
        <family val="2"/>
        <scheme val="minor"/>
      </rPr>
      <t>Stuffing Box (</t>
    </r>
    <r>
      <rPr>
        <sz val="11"/>
        <color theme="1"/>
        <rFont val="Calibri"/>
        <family val="2"/>
        <charset val="204"/>
        <scheme val="minor"/>
      </rPr>
      <t>MM150-078-12001)</t>
    </r>
  </si>
  <si>
    <t>Wear Ring (MM150-083-00001)</t>
  </si>
  <si>
    <t>Packing-4 Ring Set (MM150-111L42104)</t>
  </si>
  <si>
    <t>Shaft Sleeve (MM150-175-18013)</t>
  </si>
  <si>
    <t>Packing Bush (MM250-399-10001)</t>
  </si>
  <si>
    <r>
      <rPr>
        <sz val="11"/>
        <rFont val="Calibri"/>
        <family val="2"/>
        <scheme val="minor"/>
      </rPr>
      <t>Stuffing Box Seal (</t>
    </r>
    <r>
      <rPr>
        <sz val="11"/>
        <color theme="1"/>
        <rFont val="Calibri"/>
        <family val="2"/>
        <charset val="204"/>
        <scheme val="minor"/>
      </rPr>
      <t>MM150-122-35001)</t>
    </r>
  </si>
  <si>
    <r>
      <rPr>
        <sz val="11"/>
        <rFont val="Calibri"/>
        <family val="2"/>
        <scheme val="minor"/>
      </rPr>
      <t>Wear Ring Carrier (</t>
    </r>
    <r>
      <rPr>
        <sz val="11"/>
        <color theme="1"/>
        <rFont val="Calibri"/>
        <family val="2"/>
        <charset val="204"/>
        <scheme val="minor"/>
      </rPr>
      <t>MM150-124-35001)</t>
    </r>
  </si>
  <si>
    <r>
      <rPr>
        <sz val="11"/>
        <rFont val="Calibri"/>
        <family val="2"/>
        <scheme val="minor"/>
      </rPr>
      <t>Wear Ring Screw (</t>
    </r>
    <r>
      <rPr>
        <sz val="11"/>
        <color theme="1"/>
        <rFont val="Calibri"/>
        <family val="2"/>
        <charset val="204"/>
        <scheme val="minor"/>
      </rPr>
      <t>MM150-084-10001)</t>
    </r>
  </si>
  <si>
    <t>Lantern Bush (MM150-063-16001)</t>
  </si>
  <si>
    <r>
      <rPr>
        <sz val="11"/>
        <rFont val="Calibri"/>
        <family val="2"/>
        <scheme val="minor"/>
      </rPr>
      <t>Release Collar (</t>
    </r>
    <r>
      <rPr>
        <sz val="11"/>
        <color theme="1"/>
        <rFont val="Calibri"/>
        <family val="2"/>
        <charset val="204"/>
        <scheme val="minor"/>
      </rPr>
      <t>MMB-239-10001)</t>
    </r>
  </si>
  <si>
    <t>Item No.</t>
  </si>
  <si>
    <t>* 6</t>
  </si>
  <si>
    <t xml:space="preserve">+ 10 </t>
  </si>
  <si>
    <t>+ 2</t>
  </si>
  <si>
    <t>+ 5</t>
  </si>
  <si>
    <t>+ 11</t>
  </si>
  <si>
    <t>+ 12</t>
  </si>
  <si>
    <t>+ 19</t>
  </si>
  <si>
    <t>+ 20</t>
  </si>
  <si>
    <t>+ 21</t>
  </si>
  <si>
    <t>+ 23</t>
  </si>
  <si>
    <t>+ 24</t>
  </si>
  <si>
    <t>* 25</t>
  </si>
  <si>
    <t>+ 26</t>
  </si>
  <si>
    <t>+ 27</t>
  </si>
  <si>
    <t>+ 28</t>
  </si>
  <si>
    <t>+ 29</t>
  </si>
  <si>
    <t>* 30</t>
  </si>
  <si>
    <t>* 31</t>
  </si>
  <si>
    <t>+ 34</t>
  </si>
  <si>
    <t>+ 37</t>
  </si>
  <si>
    <t>QTY</t>
  </si>
  <si>
    <t>Installation Date</t>
  </si>
  <si>
    <t>N/a</t>
  </si>
  <si>
    <r>
      <t xml:space="preserve">Working hours </t>
    </r>
    <r>
      <rPr>
        <b/>
        <sz val="11"/>
        <color theme="1"/>
        <rFont val="Calibri"/>
        <family val="2"/>
        <scheme val="minor"/>
      </rPr>
      <t>MH</t>
    </r>
  </si>
  <si>
    <t xml:space="preserve">from  </t>
  </si>
  <si>
    <t>to</t>
  </si>
  <si>
    <t>Inspection date</t>
  </si>
  <si>
    <t>Remarks</t>
  </si>
  <si>
    <r>
      <rPr>
        <b/>
        <sz val="11"/>
        <color theme="1"/>
        <rFont val="Calibri"/>
        <family val="2"/>
        <scheme val="minor"/>
      </rPr>
      <t>SW</t>
    </r>
    <r>
      <rPr>
        <sz val="11"/>
        <color theme="1"/>
        <rFont val="Calibri"/>
        <family val="2"/>
        <charset val="204"/>
        <scheme val="minor"/>
      </rPr>
      <t xml:space="preserve"> Replaced by a new</t>
    </r>
  </si>
  <si>
    <t>Runtime</t>
  </si>
  <si>
    <t xml:space="preserve">Project PU-NO </t>
  </si>
  <si>
    <t>KAZ Minerals Bozshakol</t>
  </si>
  <si>
    <t>suction Liner assembly</t>
  </si>
  <si>
    <t>0521-PU-808</t>
  </si>
  <si>
    <r>
      <t xml:space="preserve">S|n </t>
    </r>
    <r>
      <rPr>
        <b/>
        <sz val="11"/>
        <color theme="1"/>
        <rFont val="Calibri"/>
        <family val="2"/>
        <scheme val="minor"/>
      </rPr>
      <t>KM09933</t>
    </r>
  </si>
  <si>
    <t>Description ------------
Part Number------------</t>
  </si>
  <si>
    <t>Casing
MM150-010-00001</t>
  </si>
  <si>
    <t>Casing  O-Ring
MM150-125-35001</t>
  </si>
  <si>
    <t xml:space="preserve"> Adapter
MM150-099-12MMB</t>
  </si>
  <si>
    <r>
      <rPr>
        <sz val="11"/>
        <rFont val="Calibri"/>
        <family val="2"/>
        <scheme val="minor"/>
      </rPr>
      <t>Backliner</t>
    </r>
    <r>
      <rPr>
        <sz val="11"/>
        <color theme="1"/>
        <rFont val="Calibri"/>
        <family val="2"/>
        <charset val="204"/>
        <scheme val="minor"/>
      </rPr>
      <t xml:space="preserve">
MM150-041-00001</t>
    </r>
  </si>
  <si>
    <t>Ring 
MM150-225-35001</t>
  </si>
  <si>
    <t>Adapter
MM100-060-26049</t>
  </si>
  <si>
    <t>Adapter
MM150-060-26049</t>
  </si>
  <si>
    <t>Impeller
MM150-447-00013</t>
  </si>
  <si>
    <t>Impeller gasket
MM150-018-29013</t>
  </si>
  <si>
    <t>Washer
MM150-064-18001</t>
  </si>
  <si>
    <t>Sleeve spacer gasket
MM250-019-28015</t>
  </si>
  <si>
    <r>
      <rPr>
        <sz val="11"/>
        <rFont val="Calibri"/>
        <family val="2"/>
        <scheme val="minor"/>
      </rPr>
      <t>Stuffing Box</t>
    </r>
    <r>
      <rPr>
        <sz val="11"/>
        <color theme="1"/>
        <rFont val="Calibri"/>
        <family val="2"/>
        <charset val="204"/>
        <scheme val="minor"/>
      </rPr>
      <t xml:space="preserve">
MM150-078-12001</t>
    </r>
  </si>
  <si>
    <t>Wear ring
MM150-083-00001</t>
  </si>
  <si>
    <t>Packing-4 ring set
MM150-111L42104</t>
  </si>
  <si>
    <t>Packing bush
MM250-399-10001</t>
  </si>
  <si>
    <r>
      <rPr>
        <sz val="11"/>
        <rFont val="Calibri"/>
        <family val="2"/>
        <scheme val="minor"/>
      </rPr>
      <t>Stuffing box seal</t>
    </r>
    <r>
      <rPr>
        <sz val="11"/>
        <color theme="1"/>
        <rFont val="Calibri"/>
        <family val="2"/>
        <charset val="204"/>
        <scheme val="minor"/>
      </rPr>
      <t xml:space="preserve">
MM150-122-35001</t>
    </r>
  </si>
  <si>
    <r>
      <rPr>
        <sz val="11"/>
        <rFont val="Calibri"/>
        <family val="2"/>
        <scheme val="minor"/>
      </rPr>
      <t>Wear Ring carrier</t>
    </r>
    <r>
      <rPr>
        <sz val="11"/>
        <color theme="1"/>
        <rFont val="Calibri"/>
        <family val="2"/>
        <charset val="204"/>
        <scheme val="minor"/>
      </rPr>
      <t xml:space="preserve">
MM150-124-35001 </t>
    </r>
  </si>
  <si>
    <r>
      <rPr>
        <sz val="11"/>
        <rFont val="Calibri"/>
        <family val="2"/>
        <scheme val="minor"/>
      </rPr>
      <t>Wear ring screw</t>
    </r>
    <r>
      <rPr>
        <sz val="11"/>
        <color theme="1"/>
        <rFont val="Calibri"/>
        <family val="2"/>
        <charset val="204"/>
        <scheme val="minor"/>
      </rPr>
      <t xml:space="preserve">
MM150-084-10001</t>
    </r>
  </si>
  <si>
    <t>Lantern Bush
MM150-063-16001</t>
  </si>
  <si>
    <r>
      <rPr>
        <sz val="11"/>
        <rFont val="Calibri"/>
        <family val="2"/>
        <scheme val="minor"/>
      </rPr>
      <t>Release collar</t>
    </r>
    <r>
      <rPr>
        <sz val="11"/>
        <color theme="1"/>
        <rFont val="Calibri"/>
        <family val="2"/>
        <charset val="204"/>
        <scheme val="minor"/>
      </rPr>
      <t xml:space="preserve">
MMB-239-10001</t>
    </r>
  </si>
  <si>
    <t>1 к-т.</t>
  </si>
  <si>
    <t xml:space="preserve">Drawings : </t>
  </si>
  <si>
    <t>Parts List : PAMMA-500DM10001</t>
  </si>
  <si>
    <t xml:space="preserve">Casing Asm   </t>
  </si>
  <si>
    <t>0523-PU-810</t>
  </si>
  <si>
    <r>
      <t xml:space="preserve">S|n </t>
    </r>
    <r>
      <rPr>
        <b/>
        <sz val="11"/>
        <color theme="1"/>
        <rFont val="Calibri"/>
        <family val="2"/>
        <scheme val="minor"/>
      </rPr>
      <t>KM09934</t>
    </r>
  </si>
  <si>
    <t>Description ---------
Part Number--------</t>
  </si>
  <si>
    <t>Bearing Housing
MMA-511-11001</t>
  </si>
  <si>
    <t>Backliner Seal
MM150-225-35001</t>
  </si>
  <si>
    <t xml:space="preserve">Casing
MM150-010-00001
</t>
  </si>
  <si>
    <t>Casing seal
MM150-125-35001</t>
  </si>
  <si>
    <t>Joint
MM100-060-26049</t>
  </si>
  <si>
    <t>Joint 
MM150-060-26049</t>
  </si>
  <si>
    <t>Impeller
MM150-447-00016</t>
  </si>
  <si>
    <t>Impeller Gasket
MM150-018-29016</t>
  </si>
  <si>
    <t>driMAX Mech. Seal
MMAV572-17CART</t>
  </si>
  <si>
    <t>Shaft Sleeve 
MM100-375-16MMA</t>
  </si>
  <si>
    <t>Wear Ring Carrier
MM150-124-35001</t>
  </si>
  <si>
    <t>Wear Ring Screw
MM150-084-10001</t>
  </si>
  <si>
    <t>Casing Assembly
MM150-110-00001</t>
  </si>
  <si>
    <t>*6</t>
  </si>
  <si>
    <t>+ 10</t>
  </si>
  <si>
    <t>*25</t>
  </si>
  <si>
    <t>*30</t>
  </si>
  <si>
    <t>*31</t>
  </si>
  <si>
    <t>*</t>
  </si>
  <si>
    <t>27.ноя.21</t>
  </si>
  <si>
    <t>Parts List : PA150-A45C00001-49</t>
  </si>
  <si>
    <t>0523-PU-811</t>
  </si>
  <si>
    <r>
      <t xml:space="preserve">S|n </t>
    </r>
    <r>
      <rPr>
        <b/>
        <sz val="11"/>
        <color theme="1"/>
        <rFont val="Calibri"/>
        <family val="2"/>
        <scheme val="minor"/>
      </rPr>
      <t>KM09935</t>
    </r>
  </si>
  <si>
    <t>Backliner
MM150-041-00231</t>
  </si>
  <si>
    <t>n/a</t>
  </si>
  <si>
    <t>Drawings :</t>
  </si>
  <si>
    <t>UR400-E43U09363</t>
  </si>
  <si>
    <t>154707-UL400-E43-267QR-49</t>
  </si>
  <si>
    <t>UL400-E43-267QR-49</t>
  </si>
  <si>
    <t>Project</t>
  </si>
  <si>
    <t>Suction Liner assembly :</t>
  </si>
  <si>
    <t>+* UM400-142-26701</t>
  </si>
  <si>
    <r>
      <t xml:space="preserve">S|n </t>
    </r>
    <r>
      <rPr>
        <b/>
        <sz val="11"/>
        <color theme="1"/>
        <rFont val="Calibri"/>
        <family val="2"/>
        <scheme val="minor"/>
      </rPr>
      <t>KM09363</t>
    </r>
  </si>
  <si>
    <t>Bearing Assembly :</t>
  </si>
  <si>
    <t>PU-704</t>
  </si>
  <si>
    <t>KM09362</t>
  </si>
  <si>
    <r>
      <rPr>
        <sz val="11"/>
        <rFont val="Calibri"/>
        <family val="2"/>
        <scheme val="minor"/>
      </rPr>
      <t>Casing</t>
    </r>
    <r>
      <rPr>
        <sz val="11"/>
        <color theme="1"/>
        <rFont val="Calibri"/>
        <family val="2"/>
        <charset val="204"/>
        <scheme val="minor"/>
      </rPr>
      <t xml:space="preserve">
UM400-010-00001</t>
    </r>
  </si>
  <si>
    <t>Working hours</t>
  </si>
  <si>
    <t>замена насоса в сборе</t>
  </si>
  <si>
    <t>14.май.20</t>
  </si>
  <si>
    <t>25.окт.20</t>
  </si>
  <si>
    <t>20.май.21</t>
  </si>
  <si>
    <t>21.Sep.20</t>
  </si>
  <si>
    <t>20.Sep.21</t>
  </si>
  <si>
    <t>PU-710</t>
  </si>
  <si>
    <t>N\A</t>
  </si>
  <si>
    <t>SW Replaced by a new</t>
  </si>
  <si>
    <t>04.май.21</t>
  </si>
  <si>
    <t>02.Mar.21</t>
  </si>
  <si>
    <t>05.апр.21</t>
  </si>
  <si>
    <t>07.қар.21</t>
  </si>
  <si>
    <t>replaced by new</t>
  </si>
  <si>
    <t>Placed from PU-731</t>
  </si>
  <si>
    <t>керамика</t>
  </si>
  <si>
    <t>16.қаң.21</t>
  </si>
  <si>
    <t>Replaced by NEW!</t>
  </si>
  <si>
    <t>PU-731</t>
  </si>
  <si>
    <t xml:space="preserve">Schedule Work - SW. Replacement by a new </t>
  </si>
  <si>
    <r>
      <rPr>
        <b/>
        <sz val="11"/>
        <color theme="1"/>
        <rFont val="Calibri"/>
        <family val="2"/>
        <scheme val="minor"/>
      </rPr>
      <t xml:space="preserve">Schedule Work </t>
    </r>
    <r>
      <rPr>
        <sz val="11"/>
        <color theme="1"/>
        <rFont val="Calibri"/>
        <family val="2"/>
        <charset val="204"/>
        <scheme val="minor"/>
      </rPr>
      <t xml:space="preserve">- SW. Replacement by a new </t>
    </r>
  </si>
  <si>
    <r>
      <rPr>
        <b/>
        <sz val="11"/>
        <color theme="1"/>
        <rFont val="Calibri"/>
        <family val="2"/>
        <scheme val="minor"/>
      </rPr>
      <t>Schedule Work</t>
    </r>
    <r>
      <rPr>
        <sz val="11"/>
        <color theme="1"/>
        <rFont val="Calibri"/>
        <family val="2"/>
        <charset val="204"/>
        <scheme val="minor"/>
      </rPr>
      <t xml:space="preserve"> - SW. Replacement by a new </t>
    </r>
  </si>
  <si>
    <t xml:space="preserve">UnScheduled Wok - UW Replacement by a new </t>
  </si>
  <si>
    <r>
      <t xml:space="preserve">Schedule Work - SW. Replacement by a </t>
    </r>
    <r>
      <rPr>
        <sz val="11"/>
        <color rgb="FFFF0000"/>
        <rFont val="Calibri"/>
        <family val="2"/>
        <scheme val="minor"/>
      </rPr>
      <t>previously used</t>
    </r>
  </si>
  <si>
    <t>23.сен.20</t>
  </si>
  <si>
    <t>new</t>
  </si>
  <si>
    <t>23.қыр.20</t>
  </si>
  <si>
    <t>04.дек.20</t>
  </si>
  <si>
    <t>Replaced by new</t>
  </si>
  <si>
    <t xml:space="preserve">UW Repleacement by a new  </t>
  </si>
  <si>
    <t>24.июл.20</t>
  </si>
  <si>
    <t>замена в сборе</t>
  </si>
  <si>
    <t>12.июл.21</t>
  </si>
  <si>
    <t>20.қаң.21</t>
  </si>
  <si>
    <t>Replaced by NEW</t>
  </si>
  <si>
    <t>Installed from PU-710</t>
  </si>
  <si>
    <t>PA200-B43L00001-49</t>
  </si>
  <si>
    <t>Casing Asm   +* MM200-110-00001</t>
  </si>
  <si>
    <t xml:space="preserve"> 
3420-PU-823</t>
  </si>
  <si>
    <r>
      <t xml:space="preserve">S|n </t>
    </r>
    <r>
      <rPr>
        <b/>
        <sz val="11"/>
        <color theme="1"/>
        <rFont val="Calibri"/>
        <family val="2"/>
        <scheme val="minor"/>
      </rPr>
      <t>KM09878</t>
    </r>
  </si>
  <si>
    <t>34</t>
  </si>
  <si>
    <t>05.там.20</t>
  </si>
  <si>
    <t>25.қаз.20</t>
  </si>
  <si>
    <t>08.сәу.20</t>
  </si>
  <si>
    <t>25.мам.20</t>
  </si>
  <si>
    <t>Parts List : PA500-D43-00100-49</t>
  </si>
  <si>
    <r>
      <t xml:space="preserve">S|n </t>
    </r>
    <r>
      <rPr>
        <b/>
        <sz val="11"/>
        <rFont val="Calibri"/>
        <family val="2"/>
        <scheme val="minor"/>
      </rPr>
      <t>KM09617</t>
    </r>
  </si>
  <si>
    <t>* 2</t>
  </si>
  <si>
    <t>+ 6</t>
  </si>
  <si>
    <t>+ 15</t>
  </si>
  <si>
    <t xml:space="preserve">+ * </t>
  </si>
  <si>
    <t>замена рабочего колеса и компенсационного кольца</t>
  </si>
  <si>
    <t>Drawings : PG200-B43U09618</t>
  </si>
  <si>
    <t>PG200-B43U09618</t>
  </si>
  <si>
    <t>3421-PU-737</t>
  </si>
  <si>
    <r>
      <t xml:space="preserve">S|n </t>
    </r>
    <r>
      <rPr>
        <b/>
        <sz val="11"/>
        <color theme="1"/>
        <rFont val="Calibri"/>
        <family val="2"/>
        <scheme val="minor"/>
      </rPr>
      <t>KM09620</t>
    </r>
  </si>
  <si>
    <t>Description -------Part Number-------</t>
  </si>
  <si>
    <t>--</t>
  </si>
  <si>
    <t>15.қаң.21</t>
  </si>
  <si>
    <t>Drawings: RR200-B43U09360</t>
  </si>
  <si>
    <t>Serial Number: KM09360</t>
  </si>
  <si>
    <t>Parts List: RA200-B43L26052</t>
  </si>
  <si>
    <t>TAG Number: 3430-PU-721</t>
  </si>
  <si>
    <t>General Arrangement:</t>
  </si>
  <si>
    <t>PU-721</t>
  </si>
  <si>
    <t>Gland Side Casing Liner (RM200-013-26001)</t>
  </si>
  <si>
    <t>Suction Side Casing Liner (RM200-014-26001)</t>
  </si>
  <si>
    <t>Suction Liner (RM200-042-26001)</t>
  </si>
  <si>
    <t>Release Collar (MMB-239-10001)</t>
  </si>
  <si>
    <t>Impeller 4 vane (RM200-447-00013)</t>
  </si>
  <si>
    <t>Impeller_Expeller Gasket (MM250-017-29008)</t>
  </si>
  <si>
    <t>Neck Ring (MM150-064-18001)</t>
  </si>
  <si>
    <t>Shaft Seal O-Ring (MM250-019-28015)</t>
  </si>
  <si>
    <t>Stuffing Box (RM200-078-12MMB)</t>
  </si>
  <si>
    <t>Wear Ring (RM200-083-00001)</t>
  </si>
  <si>
    <t>Stuffing Box Plug (MM250-399-10001)</t>
  </si>
  <si>
    <t>Close Nipple (PF-CN-5-SS)</t>
  </si>
  <si>
    <r>
      <t>Elbow 45 (</t>
    </r>
    <r>
      <rPr>
        <sz val="10"/>
        <color theme="1"/>
        <rFont val="Calibri"/>
        <family val="2"/>
      </rPr>
      <t>PF-45-5-SS)</t>
    </r>
  </si>
  <si>
    <t>Wear Ring Screw (MM200-084-10001)</t>
  </si>
  <si>
    <t>Lantern Ring (MM150-063-16001)</t>
  </si>
  <si>
    <t>+ 4</t>
  </si>
  <si>
    <t>+ 14</t>
  </si>
  <si>
    <t>+ 25</t>
  </si>
  <si>
    <t>+ 30</t>
  </si>
  <si>
    <t>+ 31</t>
  </si>
  <si>
    <t>21.қар.17</t>
  </si>
  <si>
    <t>25.ақп.19</t>
  </si>
  <si>
    <t>30.жел.17</t>
  </si>
  <si>
    <t>31.там.17</t>
  </si>
  <si>
    <t>04.қаң.20</t>
  </si>
  <si>
    <t>07.там.19</t>
  </si>
  <si>
    <t>17.там.20</t>
  </si>
  <si>
    <t>23.ақп.18</t>
  </si>
  <si>
    <t>17.нау.18</t>
  </si>
  <si>
    <t>14.мау.18</t>
  </si>
  <si>
    <t>21.қаз.18</t>
  </si>
  <si>
    <t>19.қаң.19</t>
  </si>
  <si>
    <t>Parts List : PA080AA43L00001-49</t>
  </si>
  <si>
    <t>3430-PU-723</t>
  </si>
  <si>
    <r>
      <t xml:space="preserve">S|n </t>
    </r>
    <r>
      <rPr>
        <b/>
        <sz val="11"/>
        <color theme="1"/>
        <rFont val="Calibri"/>
        <family val="2"/>
        <scheme val="minor"/>
      </rPr>
      <t>KM09622</t>
    </r>
  </si>
  <si>
    <t>Backliner
MM080-041-00001</t>
  </si>
  <si>
    <t>Backliner Seal
MM080-225-35001</t>
  </si>
  <si>
    <t xml:space="preserve">Casing
MM080-010-00001
</t>
  </si>
  <si>
    <t>Casing seal
MM080-125-35001</t>
  </si>
  <si>
    <t>Joint
MM050-060-26049</t>
  </si>
  <si>
    <t xml:space="preserve">Joint 
MM080-060-26049
</t>
  </si>
  <si>
    <t>Impeller 4 vane
MM080-447-00001</t>
  </si>
  <si>
    <t>Impeller Gasket
MM080-018-29086</t>
  </si>
  <si>
    <t>Neck ring
MM080-064-18001</t>
  </si>
  <si>
    <t>Sleeve spacer o-ring
MM100-109-28019</t>
  </si>
  <si>
    <t>Stuffing Box
MM080-078-12001</t>
  </si>
  <si>
    <t>Wear Ring
MM080-083-00001</t>
  </si>
  <si>
    <t>Packing-4 ring set
MM080-111L42104</t>
  </si>
  <si>
    <t>Shaft sleeve
MM080-175-18086</t>
  </si>
  <si>
    <t>Stuffing Box Plug
PF-Plug-.375</t>
  </si>
  <si>
    <t>Stuffing Box Seal
MM080-124-35001</t>
  </si>
  <si>
    <t>Wear Ring Carrier
MM080-124-35001</t>
  </si>
  <si>
    <t>Wear Ring Screw
MM080-084-10001</t>
  </si>
  <si>
    <t>Lanter Ring
MM080-063-16001</t>
  </si>
  <si>
    <t>Casing Assembly
MM080-110-00001</t>
  </si>
  <si>
    <t>+ *</t>
  </si>
  <si>
    <t>21.Mar.21</t>
  </si>
  <si>
    <t>Drawings : PG200-B43U09878</t>
  </si>
  <si>
    <r>
      <t xml:space="preserve">S|n </t>
    </r>
    <r>
      <rPr>
        <b/>
        <sz val="11"/>
        <color theme="1"/>
        <rFont val="Calibri"/>
        <family val="2"/>
        <scheme val="minor"/>
      </rPr>
      <t>KM09618</t>
    </r>
  </si>
  <si>
    <t>23.қаң.20</t>
  </si>
  <si>
    <t>25.шіл.18</t>
  </si>
  <si>
    <t>22.қар.17</t>
  </si>
  <si>
    <t>07.мам.17</t>
  </si>
  <si>
    <t>17.жел.18</t>
  </si>
  <si>
    <t>10.қыр.17</t>
  </si>
  <si>
    <t>01.мау.18</t>
  </si>
  <si>
    <t>13.Feb.21</t>
  </si>
  <si>
    <t>3430-PU-824</t>
  </si>
  <si>
    <r>
      <t xml:space="preserve">S|n </t>
    </r>
    <r>
      <rPr>
        <b/>
        <sz val="11"/>
        <color theme="1"/>
        <rFont val="Calibri"/>
        <family val="2"/>
        <scheme val="minor"/>
      </rPr>
      <t>KM09623</t>
    </r>
  </si>
  <si>
    <t>Stuffing Box Seal
MM080-122-35001</t>
  </si>
  <si>
    <r>
      <rPr>
        <b/>
        <sz val="11"/>
        <color theme="1"/>
        <rFont val="Calibri"/>
        <family val="2"/>
        <scheme val="minor"/>
      </rPr>
      <t xml:space="preserve">UW </t>
    </r>
    <r>
      <rPr>
        <sz val="11"/>
        <color theme="1"/>
        <rFont val="Calibri"/>
        <family val="2"/>
        <charset val="204"/>
        <scheme val="minor"/>
      </rPr>
      <t xml:space="preserve">Replacement by a new </t>
    </r>
  </si>
  <si>
    <t>Drawings : PG150-A43U09619</t>
  </si>
  <si>
    <t>Parts List : PA150-A43L00001-49</t>
  </si>
  <si>
    <t>3443-PU-744</t>
  </si>
  <si>
    <r>
      <t xml:space="preserve">S|n </t>
    </r>
    <r>
      <rPr>
        <b/>
        <sz val="11"/>
        <color theme="1"/>
        <rFont val="Calibri"/>
        <family val="2"/>
        <scheme val="minor"/>
      </rPr>
      <t>KM09619</t>
    </r>
  </si>
  <si>
    <t>Backliner
MM150-041-00001</t>
  </si>
  <si>
    <t>Impeller-4 Vane
MM150-447-00016</t>
  </si>
  <si>
    <t>Neck Ring 
MM150-064-18001</t>
  </si>
  <si>
    <t>Shaft Seal O-Ring
MM150-109-28016</t>
  </si>
  <si>
    <t>Stuffing Box
MM150-078-12MMA</t>
  </si>
  <si>
    <t>Wear Ring 
MM150-083-00001</t>
  </si>
  <si>
    <t>Packing-4 Ring Set
MM150-111L42104</t>
  </si>
  <si>
    <t>Shaft Sleeve
MM150-175-18016</t>
  </si>
  <si>
    <t>Stuffing Box Seal
MM150-122-35001</t>
  </si>
  <si>
    <t>Lantern Ring
MM150-063-16001</t>
  </si>
  <si>
    <t>+21</t>
  </si>
  <si>
    <t>+23</t>
  </si>
  <si>
    <t>+24</t>
  </si>
  <si>
    <t>+26</t>
  </si>
  <si>
    <t>+27</t>
  </si>
  <si>
    <t>+28</t>
  </si>
  <si>
    <t>+29</t>
  </si>
  <si>
    <t>+34</t>
  </si>
  <si>
    <t>+35</t>
  </si>
  <si>
    <t>+*</t>
  </si>
  <si>
    <t>22.қаз.21</t>
  </si>
  <si>
    <t>15.мам.20</t>
  </si>
  <si>
    <t>Drawings : PG200-B43U09620</t>
  </si>
  <si>
    <t xml:space="preserve">
3443-PU-750</t>
  </si>
  <si>
    <r>
      <t xml:space="preserve">S|n </t>
    </r>
    <r>
      <rPr>
        <b/>
        <sz val="11"/>
        <color theme="1"/>
        <rFont val="Calibri"/>
        <family val="2"/>
        <scheme val="minor"/>
      </rPr>
      <t>KM09621</t>
    </r>
  </si>
  <si>
    <t>Casing Asm
MM200-110-00001</t>
  </si>
  <si>
    <t>* +</t>
  </si>
  <si>
    <t>-</t>
  </si>
  <si>
    <t xml:space="preserve"> S|n KM09874</t>
  </si>
  <si>
    <t>24.шіл.20</t>
  </si>
  <si>
    <t>07.мау.20</t>
  </si>
  <si>
    <t>30.мам.20</t>
  </si>
  <si>
    <t>05.мау.20</t>
  </si>
  <si>
    <t>Drawings : PG200-B43U09875</t>
  </si>
  <si>
    <t>S|n KM09875</t>
  </si>
  <si>
    <t>03.шіл.20</t>
  </si>
  <si>
    <t>UW Replaced by a new</t>
  </si>
  <si>
    <t>Замена ремней</t>
  </si>
  <si>
    <t>Parts List : PA100AA43L00001-49</t>
  </si>
  <si>
    <t>3520-PU-825</t>
  </si>
  <si>
    <r>
      <t xml:space="preserve">S|n </t>
    </r>
    <r>
      <rPr>
        <b/>
        <sz val="11"/>
        <color theme="1"/>
        <rFont val="Calibri"/>
        <family val="2"/>
        <scheme val="minor"/>
      </rPr>
      <t>KM09624</t>
    </r>
  </si>
  <si>
    <t>Backliner
MM100-041-00001</t>
  </si>
  <si>
    <t>Backliner Seal
MM100-225-35001</t>
  </si>
  <si>
    <t xml:space="preserve">Casing
MM100-010-00001
</t>
  </si>
  <si>
    <t>Casing seal
MM100-125-35001</t>
  </si>
  <si>
    <t>Joint
MM080-060-26049</t>
  </si>
  <si>
    <t xml:space="preserve">Joint 
MM100-060-26049
</t>
  </si>
  <si>
    <t>Impeller 4 vane
MM100-447-00018</t>
  </si>
  <si>
    <t>Impeller Gasket
MM100-018-29018</t>
  </si>
  <si>
    <t>Neck ring
MM100-064-18001</t>
  </si>
  <si>
    <t>Stuffing Box
MM100-078-12001</t>
  </si>
  <si>
    <t>Wear Ring
MM100-083-00001</t>
  </si>
  <si>
    <t>Packing-4 ring set
MM100-111L42104</t>
  </si>
  <si>
    <t>Shaft sleeve
MM100-175-18018</t>
  </si>
  <si>
    <t>Stuffing Box Seal
MM100-122-35001</t>
  </si>
  <si>
    <t>Wear Ring Carrier
MM100-124-35-001</t>
  </si>
  <si>
    <t>Wear Ring Screw
MM100-084-10001</t>
  </si>
  <si>
    <t>Lanter Ring
MM100-063-16001</t>
  </si>
  <si>
    <t>Shaft Seal O-ring
MM100-019-28001</t>
  </si>
  <si>
    <t>Casing Assembly
MM100-110-00001</t>
  </si>
  <si>
    <t xml:space="preserve"> 24</t>
  </si>
  <si>
    <t>+ 35</t>
  </si>
  <si>
    <t>3520-PU-826</t>
  </si>
  <si>
    <r>
      <t xml:space="preserve">S|n </t>
    </r>
    <r>
      <rPr>
        <b/>
        <sz val="11"/>
        <color theme="1"/>
        <rFont val="Calibri"/>
        <family val="2"/>
        <scheme val="minor"/>
      </rPr>
      <t>KM09625</t>
    </r>
  </si>
  <si>
    <t>Casing Bolt Washer
MM250-140-10001</t>
  </si>
  <si>
    <t>Casing Bolt
MM100-034-10018</t>
  </si>
  <si>
    <t>Gland Stud Washer
MM100-145-16001</t>
  </si>
  <si>
    <t xml:space="preserve">Gland Stud
MM250-045-16008
</t>
  </si>
  <si>
    <t>Base Stud
MM100-334-10019</t>
  </si>
  <si>
    <t>Base Stud Washer MM150-140-10001</t>
  </si>
  <si>
    <t>Gland Stud Nut</t>
  </si>
  <si>
    <t>7</t>
  </si>
  <si>
    <t>8</t>
  </si>
  <si>
    <t>17</t>
  </si>
  <si>
    <t>18</t>
  </si>
  <si>
    <t>38</t>
  </si>
  <si>
    <t>40</t>
  </si>
  <si>
    <t>41</t>
  </si>
  <si>
    <t>15.Mar.21</t>
  </si>
  <si>
    <t xml:space="preserve"> 
3530-PU-828</t>
  </si>
  <si>
    <t xml:space="preserve"> 
3530-PU-829</t>
  </si>
  <si>
    <t>Suction liner</t>
  </si>
  <si>
    <t>07.июн.21</t>
  </si>
  <si>
    <t>24.ноя.21</t>
  </si>
  <si>
    <t>3520-PU-830</t>
  </si>
  <si>
    <r>
      <t xml:space="preserve">S|n </t>
    </r>
    <r>
      <rPr>
        <b/>
        <sz val="11"/>
        <color theme="1"/>
        <rFont val="Calibri"/>
        <family val="2"/>
        <scheme val="minor"/>
      </rPr>
      <t>KM09879</t>
    </r>
  </si>
  <si>
    <t>12.Feb.21</t>
  </si>
  <si>
    <t>02.Dec.21</t>
  </si>
  <si>
    <t>3520-PU-892</t>
  </si>
  <si>
    <r>
      <t xml:space="preserve">S|n </t>
    </r>
    <r>
      <rPr>
        <b/>
        <sz val="11"/>
        <color theme="1"/>
        <rFont val="Calibri"/>
        <family val="2"/>
        <scheme val="minor"/>
      </rPr>
      <t>KM09880</t>
    </r>
  </si>
  <si>
    <t xml:space="preserve">UW Replacement by a new </t>
  </si>
  <si>
    <t>Drawings : PG400-C43U09876</t>
  </si>
  <si>
    <t>Parts List : PA400-C43-00001-49</t>
  </si>
  <si>
    <t>3720-PU-769</t>
  </si>
  <si>
    <r>
      <t xml:space="preserve">S|n </t>
    </r>
    <r>
      <rPr>
        <b/>
        <sz val="11"/>
        <color theme="1"/>
        <rFont val="Calibri"/>
        <family val="2"/>
        <scheme val="minor"/>
      </rPr>
      <t>KM09876</t>
    </r>
  </si>
  <si>
    <t>Suction Liner
MM400-042-00001</t>
  </si>
  <si>
    <t>Suction Liner O-Ring
MM400-226-28001</t>
  </si>
  <si>
    <t>Casing
MM400-010-00001</t>
  </si>
  <si>
    <t>Casing O-Ring
MM400-126-28001</t>
  </si>
  <si>
    <t xml:space="preserve">Joint
MM350-060-26049
</t>
  </si>
  <si>
    <t>Joint
MM400-060-26049</t>
  </si>
  <si>
    <t>Release Collar
MMC-239-10007</t>
  </si>
  <si>
    <t>Impeller - 4 vane
MM400-447-00002</t>
  </si>
  <si>
    <t>Impeller Gasket
MM250-018-29007</t>
  </si>
  <si>
    <t>Lantern Bush
MM250-118-00001</t>
  </si>
  <si>
    <t>Sleeve Spacer Gasket
MM300-108-29036</t>
  </si>
  <si>
    <t>Stuffing Box
MM400-078-12MMC</t>
  </si>
  <si>
    <t>Wear Ring
MM400-083-00001</t>
  </si>
  <si>
    <t>Packing
MM250-111-43104</t>
  </si>
  <si>
    <t>Shaft Sleeve
MM250-175-18007</t>
  </si>
  <si>
    <t>Casing/Adapter Gasket
MM400-061-26001</t>
  </si>
  <si>
    <t>Wear Ring Carrier
MM400-124-35001</t>
  </si>
  <si>
    <t>Wear Ring Screw
MM400-084-10001</t>
  </si>
  <si>
    <t>Suction Liner Assembly
MM400-142-00001</t>
  </si>
  <si>
    <t>*2</t>
  </si>
  <si>
    <t>+6</t>
  </si>
  <si>
    <t>+20</t>
  </si>
  <si>
    <t>*+</t>
  </si>
  <si>
    <t>30.июн.21</t>
  </si>
  <si>
    <t>Drawings : PG400-C43U09877</t>
  </si>
  <si>
    <t>3720-PU-772</t>
  </si>
  <si>
    <r>
      <t xml:space="preserve">S|n </t>
    </r>
    <r>
      <rPr>
        <b/>
        <sz val="11"/>
        <color theme="1"/>
        <rFont val="Calibri"/>
        <family val="2"/>
        <scheme val="minor"/>
      </rPr>
      <t>KM09877</t>
    </r>
  </si>
  <si>
    <t>24.сен.21</t>
  </si>
  <si>
    <t>25.сен.21</t>
  </si>
  <si>
    <t>Drawings : PG350HD43U09435</t>
  </si>
  <si>
    <t>Parts List : PA350-D43-000HP</t>
  </si>
  <si>
    <t>3730-PU-773</t>
  </si>
  <si>
    <r>
      <t xml:space="preserve">S|n </t>
    </r>
    <r>
      <rPr>
        <b/>
        <sz val="11"/>
        <color theme="1"/>
        <rFont val="Calibri"/>
        <family val="2"/>
        <scheme val="minor"/>
      </rPr>
      <t>KM09435</t>
    </r>
  </si>
  <si>
    <t>Suction liner
MM350-042-000HP</t>
  </si>
  <si>
    <t>Backliner
MM350-041-000DHP</t>
  </si>
  <si>
    <t>Suc_liner_B_liner o-ring
MM300-226-28001</t>
  </si>
  <si>
    <t>Casing high chrome
MM350-010-000HP</t>
  </si>
  <si>
    <t>Casing O-ring
MM350-126-28200</t>
  </si>
  <si>
    <t>Joint (gasket) 300 ANSI
MM300-060-26253</t>
  </si>
  <si>
    <t>Joint (gasket) 300 ANSI
MM300-060-26053</t>
  </si>
  <si>
    <t>Release collar
MMD-239-10001</t>
  </si>
  <si>
    <t>Stuffing Box gasket
MM400-122-29084</t>
  </si>
  <si>
    <t>Impeller 4 vane
MM350-447-00203</t>
  </si>
  <si>
    <t>Impeller gasket
MM350-018-29026</t>
  </si>
  <si>
    <t>Lantern bush
MM350-118-00001</t>
  </si>
  <si>
    <t>Sleeve spacer
MM350-079-10DHP</t>
  </si>
  <si>
    <t>Sleeve spacer gasket
MM350-108-29068</t>
  </si>
  <si>
    <t>Stuffing box
MM400-078-12084</t>
  </si>
  <si>
    <t>Wear ring
MM350-083-000HP</t>
  </si>
  <si>
    <t>Packing
MM350-111-43104</t>
  </si>
  <si>
    <t>Shaft sleeve 
MM350-175-180HP</t>
  </si>
  <si>
    <t>Backliner_Hub plate O-ring
MM350-161-280HP</t>
  </si>
  <si>
    <t>Wear ring carrier
MM350-124-270HP</t>
  </si>
  <si>
    <t>Wear ring screw
MM350-084-16001</t>
  </si>
  <si>
    <t xml:space="preserve">Suction liner ASM.
MM350-142-000HP </t>
  </si>
  <si>
    <t>+ 2 A</t>
  </si>
  <si>
    <t>22</t>
  </si>
  <si>
    <t>17.мам.20</t>
  </si>
  <si>
    <t>NEW</t>
  </si>
  <si>
    <t>Drawings : PG350HD43UO9438</t>
  </si>
  <si>
    <t>3730-PU-774</t>
  </si>
  <si>
    <r>
      <t xml:space="preserve">S|n </t>
    </r>
    <r>
      <rPr>
        <b/>
        <sz val="11"/>
        <color theme="1"/>
        <rFont val="Calibri"/>
        <family val="2"/>
        <scheme val="minor"/>
      </rPr>
      <t>KM09440</t>
    </r>
  </si>
  <si>
    <t>Suction liner ASM
MM350-142-000HP</t>
  </si>
  <si>
    <t>3730-PU-775</t>
  </si>
  <si>
    <t>S|n KM09437</t>
  </si>
  <si>
    <t>Backliner
MM350-041-00DHP</t>
  </si>
  <si>
    <t>24.фев.20</t>
  </si>
  <si>
    <t>3730-PU-776</t>
  </si>
  <si>
    <t>S|n KM09438</t>
  </si>
  <si>
    <t>25.фев.21</t>
  </si>
  <si>
    <t>18.июн.21</t>
  </si>
  <si>
    <t>3730-PU-856</t>
  </si>
  <si>
    <t>S|n KM09439</t>
  </si>
  <si>
    <t>3730-PU-857</t>
  </si>
  <si>
    <t>S|n KM09440</t>
  </si>
  <si>
    <t>27.фев.21</t>
  </si>
  <si>
    <t>12.жел.21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</si>
</sst>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[$-409]dd/mmm/yy;@"/>
    <numFmt numFmtId="165" formatCode="[$-409]d/mmm/yy;@"/>
    <numFmt numFmtId="166" formatCode="[$-409]mmmm/yy;@"/>
    <numFmt numFmtId="167" formatCode="[$-419]d\ mmm\ yy;@"/>
    <numFmt numFmtId="168" formatCode="0.0"/>
    <numFmt numFmtId="169" formatCode="[$-409]d\-mmm\-yy;@"/>
  </numFmts>
  <fonts count="2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entury Gothic"/>
      <family val="2"/>
      <charset val="204"/>
    </font>
    <font>
      <b/>
      <sz val="9"/>
      <color theme="1"/>
      <name val="arial"/>
      <family val="2"/>
      <charset val="204"/>
    </font>
    <font>
      <b/>
      <sz val="18"/>
      <color theme="1"/>
      <name val="Calibri"/>
      <family val="2"/>
      <scheme val="minor"/>
    </font>
    <font>
      <sz val="11"/>
      <color theme="1"/>
      <name val="Verdana"/>
      <family val="2"/>
      <charset val="204"/>
    </font>
    <font>
      <b/>
      <sz val="11"/>
      <name val="Verdana"/>
      <family val="2"/>
      <charset val="204"/>
    </font>
    <font>
      <b/>
      <sz val="1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9"/>
      <color theme="1"/>
      <name val="arial"/>
      <family val="2"/>
      <charset val="204"/>
    </font>
    <font>
      <sz val="9"/>
      <color theme="1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43" fontId="2" fillId="0" borderId="0" applyFont="0" applyFill="0" applyBorder="0" applyAlignment="0" applyProtection="0"/>
  </cellStyleXfs>
  <cellXfs count="261">
    <xf numFmtId="0" fontId="0" fillId="0" borderId="0" xfId="0"/>
    <xf numFmtId="0" fontId="2" fillId="0" borderId="0" xfId="1"/>
    <xf numFmtId="0" fontId="2" fillId="2" borderId="1" xfId="1" applyFill="1" applyBorder="1"/>
    <xf numFmtId="0" fontId="2" fillId="2" borderId="2" xfId="1" applyFill="1" applyBorder="1"/>
    <xf numFmtId="0" fontId="2" fillId="2" borderId="3" xfId="1" applyFill="1" applyBorder="1"/>
    <xf numFmtId="0" fontId="2" fillId="3" borderId="4" xfId="1" applyFill="1" applyBorder="1"/>
    <xf numFmtId="0" fontId="2" fillId="3" borderId="0" xfId="1" applyFill="1"/>
    <xf numFmtId="0" fontId="3" fillId="3" borderId="0" xfId="1" applyFont="1" applyFill="1"/>
    <xf numFmtId="0" fontId="2" fillId="3" borderId="5" xfId="1" applyFill="1" applyBorder="1"/>
    <xf numFmtId="0" fontId="2" fillId="2" borderId="6" xfId="1" applyFill="1" applyBorder="1"/>
    <xf numFmtId="0" fontId="2" fillId="2" borderId="7" xfId="1" applyFill="1" applyBorder="1"/>
    <xf numFmtId="49" fontId="2" fillId="2" borderId="7" xfId="1" applyNumberFormat="1" applyFill="1" applyBorder="1"/>
    <xf numFmtId="0" fontId="2" fillId="2" borderId="8" xfId="1" applyFill="1" applyBorder="1"/>
    <xf numFmtId="0" fontId="3" fillId="0" borderId="0" xfId="1" applyFont="1" applyAlignment="1">
      <alignment horizontal="center" wrapText="1"/>
    </xf>
    <xf numFmtId="0" fontId="2" fillId="0" borderId="9" xfId="1" applyBorder="1" applyAlignment="1">
      <alignment vertical="top" wrapText="1"/>
    </xf>
    <xf numFmtId="0" fontId="2" fillId="0" borderId="9" xfId="1" applyBorder="1" applyAlignment="1">
      <alignment horizontal="center" vertical="top" wrapText="1"/>
    </xf>
    <xf numFmtId="0" fontId="4" fillId="0" borderId="9" xfId="1" applyFont="1" applyBorder="1" applyAlignment="1">
      <alignment vertical="top" wrapText="1"/>
    </xf>
    <xf numFmtId="49" fontId="2" fillId="3" borderId="9" xfId="1" applyNumberFormat="1" applyFill="1" applyBorder="1" applyAlignment="1">
      <alignment horizontal="center" vertical="center" wrapText="1"/>
    </xf>
    <xf numFmtId="0" fontId="2" fillId="3" borderId="9" xfId="1" applyFill="1" applyBorder="1" applyAlignment="1">
      <alignment horizontal="center" vertical="top" wrapText="1"/>
    </xf>
    <xf numFmtId="0" fontId="2" fillId="4" borderId="9" xfId="1" applyFill="1" applyBorder="1" applyAlignment="1">
      <alignment horizontal="center" vertical="top" wrapText="1"/>
    </xf>
    <xf numFmtId="0" fontId="2" fillId="4" borderId="9" xfId="1" applyFill="1" applyBorder="1" applyAlignment="1">
      <alignment horizontal="center" vertical="center" wrapText="1"/>
    </xf>
    <xf numFmtId="0" fontId="2" fillId="5" borderId="10" xfId="1" applyFill="1" applyBorder="1" applyAlignment="1">
      <alignment horizontal="left"/>
    </xf>
    <xf numFmtId="0" fontId="2" fillId="5" borderId="11" xfId="1" applyFill="1" applyBorder="1"/>
    <xf numFmtId="14" fontId="2" fillId="5" borderId="9" xfId="1" applyNumberFormat="1" applyFill="1" applyBorder="1" applyAlignment="1">
      <alignment horizontal="center"/>
    </xf>
    <xf numFmtId="14" fontId="2" fillId="5" borderId="9" xfId="1" applyNumberFormat="1" applyFill="1" applyBorder="1"/>
    <xf numFmtId="0" fontId="2" fillId="5" borderId="9" xfId="1" applyFill="1" applyBorder="1"/>
    <xf numFmtId="0" fontId="2" fillId="5" borderId="12" xfId="1" applyFill="1" applyBorder="1" applyAlignment="1">
      <alignment horizontal="left"/>
    </xf>
    <xf numFmtId="0" fontId="2" fillId="5" borderId="13" xfId="1" applyFill="1" applyBorder="1"/>
    <xf numFmtId="0" fontId="2" fillId="5" borderId="9" xfId="1" applyFill="1" applyBorder="1" applyAlignment="1">
      <alignment horizontal="right"/>
    </xf>
    <xf numFmtId="0" fontId="2" fillId="5" borderId="9" xfId="1" applyFill="1" applyBorder="1" applyAlignment="1">
      <alignment horizontal="center"/>
    </xf>
    <xf numFmtId="164" fontId="2" fillId="5" borderId="9" xfId="1" applyNumberFormat="1" applyFill="1" applyBorder="1" applyAlignment="1">
      <alignment horizontal="center"/>
    </xf>
    <xf numFmtId="165" fontId="2" fillId="5" borderId="9" xfId="1" applyNumberFormat="1" applyFill="1" applyBorder="1" applyAlignment="1">
      <alignment horizontal="center"/>
    </xf>
    <xf numFmtId="0" fontId="3" fillId="5" borderId="14" xfId="1" applyFont="1" applyFill="1" applyBorder="1" applyAlignment="1">
      <alignment horizontal="center" vertical="center" wrapText="1"/>
    </xf>
    <xf numFmtId="0" fontId="3" fillId="5" borderId="15" xfId="1" applyFont="1" applyFill="1" applyBorder="1" applyAlignment="1">
      <alignment vertical="center" wrapText="1"/>
    </xf>
    <xf numFmtId="0" fontId="2" fillId="5" borderId="9" xfId="1" applyFill="1" applyBorder="1" applyAlignment="1">
      <alignment horizontal="center" vertical="center" wrapText="1"/>
    </xf>
    <xf numFmtId="0" fontId="2" fillId="5" borderId="16" xfId="1" applyFill="1" applyBorder="1"/>
    <xf numFmtId="0" fontId="2" fillId="5" borderId="16" xfId="1" applyFill="1" applyBorder="1" applyAlignment="1">
      <alignment horizontal="right"/>
    </xf>
    <xf numFmtId="0" fontId="3" fillId="5" borderId="15" xfId="1" applyFont="1" applyFill="1" applyBorder="1" applyAlignment="1">
      <alignment horizontal="center" vertical="center" wrapText="1"/>
    </xf>
    <xf numFmtId="0" fontId="2" fillId="5" borderId="9" xfId="1" applyFill="1" applyBorder="1" applyAlignment="1">
      <alignment vertical="top"/>
    </xf>
    <xf numFmtId="14" fontId="2" fillId="5" borderId="9" xfId="1" applyNumberFormat="1" applyFill="1" applyBorder="1" applyAlignment="1">
      <alignment horizontal="right"/>
    </xf>
    <xf numFmtId="0" fontId="2" fillId="3" borderId="17" xfId="1" applyFill="1" applyBorder="1" applyAlignment="1">
      <alignment horizontal="center" vertical="center" wrapText="1"/>
    </xf>
    <xf numFmtId="0" fontId="2" fillId="2" borderId="4" xfId="1" applyFill="1" applyBorder="1"/>
    <xf numFmtId="0" fontId="2" fillId="2" borderId="0" xfId="1" applyFill="1"/>
    <xf numFmtId="49" fontId="4" fillId="2" borderId="7" xfId="1" applyNumberFormat="1" applyFont="1" applyFill="1" applyBorder="1"/>
    <xf numFmtId="0" fontId="2" fillId="2" borderId="5" xfId="1" applyFill="1" applyBorder="1"/>
    <xf numFmtId="0" fontId="3" fillId="0" borderId="10" xfId="1" applyFont="1" applyBorder="1"/>
    <xf numFmtId="0" fontId="2" fillId="0" borderId="11" xfId="1" applyBorder="1"/>
    <xf numFmtId="0" fontId="2" fillId="5" borderId="0" xfId="1" applyFill="1"/>
    <xf numFmtId="0" fontId="2" fillId="0" borderId="4" xfId="1" applyBorder="1"/>
    <xf numFmtId="0" fontId="5" fillId="0" borderId="18" xfId="1" applyFont="1" applyBorder="1" applyAlignment="1">
      <alignment vertical="center"/>
    </xf>
    <xf numFmtId="0" fontId="5" fillId="0" borderId="19" xfId="1" applyFont="1" applyBorder="1" applyAlignment="1">
      <alignment vertical="center"/>
    </xf>
    <xf numFmtId="0" fontId="2" fillId="7" borderId="16" xfId="1" applyFill="1" applyBorder="1" applyAlignment="1">
      <alignment vertical="top" wrapText="1"/>
    </xf>
    <xf numFmtId="0" fontId="2" fillId="7" borderId="9" xfId="1" applyFill="1" applyBorder="1" applyAlignment="1">
      <alignment vertical="top" wrapText="1"/>
    </xf>
    <xf numFmtId="0" fontId="8" fillId="0" borderId="19" xfId="1" applyFont="1" applyBorder="1" applyAlignment="1">
      <alignment vertical="top" wrapText="1"/>
    </xf>
    <xf numFmtId="0" fontId="5" fillId="0" borderId="0" xfId="1" applyFont="1" applyAlignment="1">
      <alignment vertical="top"/>
    </xf>
    <xf numFmtId="0" fontId="5" fillId="0" borderId="0" xfId="1" applyFont="1"/>
    <xf numFmtId="167" fontId="2" fillId="5" borderId="20" xfId="1" applyNumberFormat="1" applyFill="1" applyBorder="1" applyAlignment="1">
      <alignment horizontal="center" vertical="center"/>
    </xf>
    <xf numFmtId="167" fontId="2" fillId="5" borderId="9" xfId="1" applyNumberFormat="1" applyFill="1" applyBorder="1" applyAlignment="1">
      <alignment horizontal="center" vertical="center"/>
    </xf>
    <xf numFmtId="164" fontId="2" fillId="5" borderId="9" xfId="1" applyNumberFormat="1" applyFill="1" applyBorder="1" applyAlignment="1">
      <alignment horizontal="center" vertical="center"/>
    </xf>
    <xf numFmtId="0" fontId="2" fillId="5" borderId="9" xfId="1" applyFill="1" applyBorder="1" applyAlignment="1">
      <alignment horizontal="center" vertical="center"/>
    </xf>
    <xf numFmtId="165" fontId="2" fillId="5" borderId="9" xfId="1" applyNumberFormat="1" applyFill="1" applyBorder="1" applyAlignment="1">
      <alignment horizontal="center" vertical="center"/>
    </xf>
    <xf numFmtId="0" fontId="2" fillId="5" borderId="14" xfId="1" applyFill="1" applyBorder="1" applyAlignment="1">
      <alignment horizontal="left"/>
    </xf>
    <xf numFmtId="0" fontId="2" fillId="5" borderId="15" xfId="1" applyFill="1" applyBorder="1"/>
    <xf numFmtId="0" fontId="9" fillId="8" borderId="16" xfId="1" applyFont="1" applyFill="1" applyBorder="1" applyAlignment="1">
      <alignment horizontal="right"/>
    </xf>
    <xf numFmtId="0" fontId="3" fillId="8" borderId="9" xfId="1" applyFont="1" applyFill="1" applyBorder="1" applyAlignment="1">
      <alignment horizontal="right"/>
    </xf>
    <xf numFmtId="0" fontId="3" fillId="6" borderId="0" xfId="1" applyFont="1" applyFill="1" applyAlignment="1">
      <alignment horizontal="left"/>
    </xf>
    <xf numFmtId="0" fontId="3" fillId="6" borderId="0" xfId="1" applyFont="1" applyFill="1"/>
    <xf numFmtId="0" fontId="3" fillId="6" borderId="0" xfId="1" applyFont="1" applyFill="1" applyAlignment="1">
      <alignment horizontal="center"/>
    </xf>
    <xf numFmtId="0" fontId="3" fillId="0" borderId="0" xfId="1" applyFont="1"/>
    <xf numFmtId="0" fontId="10" fillId="5" borderId="9" xfId="1" applyFont="1" applyFill="1" applyBorder="1" applyAlignment="1">
      <alignment horizontal="center" vertical="center" wrapText="1"/>
    </xf>
    <xf numFmtId="1" fontId="2" fillId="5" borderId="0" xfId="1" applyNumberFormat="1" applyFill="1" applyAlignment="1">
      <alignment horizontal="center"/>
    </xf>
    <xf numFmtId="1" fontId="3" fillId="6" borderId="0" xfId="1" applyNumberFormat="1" applyFont="1" applyFill="1" applyAlignment="1">
      <alignment horizontal="center"/>
    </xf>
    <xf numFmtId="1" fontId="2" fillId="5" borderId="9" xfId="1" applyNumberFormat="1" applyFill="1" applyBorder="1" applyAlignment="1">
      <alignment horizontal="center" vertical="center"/>
    </xf>
    <xf numFmtId="1" fontId="2" fillId="5" borderId="9" xfId="1" applyNumberFormat="1" applyFill="1" applyBorder="1" applyAlignment="1">
      <alignment horizontal="center"/>
    </xf>
    <xf numFmtId="168" fontId="2" fillId="5" borderId="0" xfId="1" applyNumberFormat="1" applyFill="1" applyAlignment="1">
      <alignment horizontal="center"/>
    </xf>
    <xf numFmtId="0" fontId="2" fillId="5" borderId="16" xfId="1" applyFill="1" applyBorder="1" applyAlignment="1">
      <alignment horizontal="center"/>
    </xf>
    <xf numFmtId="0" fontId="3" fillId="0" borderId="0" xfId="1" applyFont="1" applyAlignment="1">
      <alignment horizontal="center"/>
    </xf>
    <xf numFmtId="14" fontId="2" fillId="5" borderId="9" xfId="1" applyNumberFormat="1" applyFill="1" applyBorder="1" applyAlignment="1">
      <alignment horizontal="center" vertical="center"/>
    </xf>
    <xf numFmtId="165" fontId="2" fillId="5" borderId="16" xfId="1" applyNumberFormat="1" applyFill="1" applyBorder="1" applyAlignment="1">
      <alignment horizontal="center"/>
    </xf>
    <xf numFmtId="169" fontId="2" fillId="5" borderId="9" xfId="1" applyNumberFormat="1" applyFill="1" applyBorder="1" applyAlignment="1">
      <alignment horizontal="center" vertical="center"/>
    </xf>
    <xf numFmtId="0" fontId="2" fillId="5" borderId="16" xfId="1" applyFill="1" applyBorder="1" applyAlignment="1">
      <alignment horizontal="center" vertical="center"/>
    </xf>
    <xf numFmtId="0" fontId="3" fillId="5" borderId="9" xfId="1" applyFont="1" applyFill="1" applyBorder="1" applyAlignment="1">
      <alignment horizontal="center" vertical="center" wrapText="1"/>
    </xf>
    <xf numFmtId="165" fontId="2" fillId="5" borderId="22" xfId="1" applyNumberFormat="1" applyFill="1" applyBorder="1" applyAlignment="1">
      <alignment horizontal="center" vertical="center"/>
    </xf>
    <xf numFmtId="0" fontId="2" fillId="5" borderId="22" xfId="1" applyFill="1" applyBorder="1" applyAlignment="1">
      <alignment horizontal="center" vertical="center"/>
    </xf>
    <xf numFmtId="0" fontId="2" fillId="5" borderId="22" xfId="1" applyFill="1" applyBorder="1" applyAlignment="1">
      <alignment horizontal="center" vertical="center" wrapText="1"/>
    </xf>
    <xf numFmtId="0" fontId="2" fillId="9" borderId="9" xfId="1" applyFill="1" applyBorder="1" applyAlignment="1">
      <alignment horizontal="center"/>
    </xf>
    <xf numFmtId="165" fontId="2" fillId="9" borderId="9" xfId="1" applyNumberFormat="1" applyFill="1" applyBorder="1" applyAlignment="1">
      <alignment horizontal="center" vertical="center"/>
    </xf>
    <xf numFmtId="0" fontId="2" fillId="9" borderId="9" xfId="1" applyFill="1" applyBorder="1" applyAlignment="1">
      <alignment horizontal="center" vertical="center" wrapText="1"/>
    </xf>
    <xf numFmtId="0" fontId="6" fillId="5" borderId="9" xfId="1" applyFont="1" applyFill="1" applyBorder="1" applyAlignment="1">
      <alignment horizontal="center" vertical="center" wrapText="1"/>
    </xf>
    <xf numFmtId="0" fontId="3" fillId="0" borderId="0" xfId="1" applyFont="1" applyAlignment="1">
      <alignment horizontal="left" vertical="center"/>
    </xf>
    <xf numFmtId="14" fontId="2" fillId="5" borderId="16" xfId="1" applyNumberFormat="1" applyFill="1" applyBorder="1" applyAlignment="1">
      <alignment horizontal="center"/>
    </xf>
    <xf numFmtId="14" fontId="2" fillId="5" borderId="16" xfId="1" applyNumberFormat="1" applyFill="1" applyBorder="1"/>
    <xf numFmtId="0" fontId="2" fillId="5" borderId="20" xfId="1" applyFill="1" applyBorder="1" applyAlignment="1">
      <alignment horizontal="center" vertical="center"/>
    </xf>
    <xf numFmtId="0" fontId="2" fillId="0" borderId="9" xfId="1" applyBorder="1" applyAlignment="1">
      <alignment vertical="top"/>
    </xf>
    <xf numFmtId="0" fontId="2" fillId="3" borderId="9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2" fillId="10" borderId="9" xfId="1" applyFill="1" applyBorder="1" applyAlignment="1">
      <alignment vertical="top" wrapText="1"/>
    </xf>
    <xf numFmtId="0" fontId="15" fillId="0" borderId="0" xfId="1" applyFont="1" applyAlignment="1">
      <alignment horizontal="center" vertical="center"/>
    </xf>
    <xf numFmtId="0" fontId="2" fillId="7" borderId="9" xfId="1" applyFill="1" applyBorder="1" applyAlignment="1">
      <alignment horizontal="center" vertical="top" wrapText="1"/>
    </xf>
    <xf numFmtId="0" fontId="4" fillId="7" borderId="9" xfId="1" applyFont="1" applyFill="1" applyBorder="1" applyAlignment="1">
      <alignment vertical="top" wrapText="1"/>
    </xf>
    <xf numFmtId="0" fontId="2" fillId="11" borderId="9" xfId="1" applyFill="1" applyBorder="1" applyAlignment="1">
      <alignment horizontal="center" vertical="center" wrapText="1"/>
    </xf>
    <xf numFmtId="1" fontId="5" fillId="6" borderId="9" xfId="1" applyNumberFormat="1" applyFont="1" applyFill="1" applyBorder="1" applyAlignment="1">
      <alignment horizontal="center" vertical="center" wrapText="1"/>
    </xf>
    <xf numFmtId="0" fontId="5" fillId="6" borderId="9" xfId="1" applyFont="1" applyFill="1" applyBorder="1" applyAlignment="1">
      <alignment horizontal="center" vertical="center" wrapText="1"/>
    </xf>
    <xf numFmtId="0" fontId="2" fillId="12" borderId="9" xfId="1" applyFill="1" applyBorder="1" applyAlignment="1">
      <alignment horizontal="center" vertical="center" wrapText="1"/>
    </xf>
    <xf numFmtId="14" fontId="5" fillId="6" borderId="9" xfId="1" applyNumberFormat="1" applyFont="1" applyFill="1" applyBorder="1" applyAlignment="1">
      <alignment horizontal="center" vertical="center" wrapText="1"/>
    </xf>
    <xf numFmtId="0" fontId="2" fillId="2" borderId="15" xfId="1" applyFill="1" applyBorder="1" applyAlignment="1">
      <alignment vertical="top" wrapText="1"/>
    </xf>
    <xf numFmtId="0" fontId="2" fillId="2" borderId="20" xfId="1" applyFill="1" applyBorder="1" applyAlignment="1">
      <alignment vertical="top" wrapText="1"/>
    </xf>
    <xf numFmtId="0" fontId="2" fillId="2" borderId="9" xfId="1" applyFill="1" applyBorder="1" applyAlignment="1">
      <alignment vertical="top" wrapText="1"/>
    </xf>
    <xf numFmtId="0" fontId="8" fillId="2" borderId="23" xfId="1" applyFont="1" applyFill="1" applyBorder="1" applyAlignment="1">
      <alignment vertical="top" wrapText="1"/>
    </xf>
    <xf numFmtId="0" fontId="2" fillId="4" borderId="15" xfId="1" applyFill="1" applyBorder="1" applyAlignment="1">
      <alignment vertical="top" wrapText="1"/>
    </xf>
    <xf numFmtId="0" fontId="2" fillId="4" borderId="20" xfId="1" applyFill="1" applyBorder="1" applyAlignment="1">
      <alignment vertical="top" wrapText="1"/>
    </xf>
    <xf numFmtId="0" fontId="2" fillId="4" borderId="9" xfId="1" applyFill="1" applyBorder="1" applyAlignment="1">
      <alignment vertical="top" wrapText="1"/>
    </xf>
    <xf numFmtId="0" fontId="8" fillId="4" borderId="23" xfId="1" applyFont="1" applyFill="1" applyBorder="1" applyAlignment="1">
      <alignment vertical="top" wrapText="1"/>
    </xf>
    <xf numFmtId="0" fontId="16" fillId="0" borderId="9" xfId="0" applyFont="1" applyBorder="1"/>
    <xf numFmtId="0" fontId="16" fillId="0" borderId="16" xfId="0" applyFont="1" applyBorder="1"/>
    <xf numFmtId="0" fontId="16" fillId="0" borderId="11" xfId="0" applyFont="1" applyBorder="1"/>
    <xf numFmtId="0" fontId="16" fillId="0" borderId="24" xfId="0" applyFont="1" applyBorder="1"/>
    <xf numFmtId="0" fontId="17" fillId="13" borderId="15" xfId="0" applyFont="1" applyFill="1" applyBorder="1"/>
    <xf numFmtId="0" fontId="17" fillId="13" borderId="20" xfId="0" applyFont="1" applyFill="1" applyBorder="1"/>
    <xf numFmtId="0" fontId="17" fillId="13" borderId="14" xfId="0" applyFont="1" applyFill="1" applyBorder="1"/>
    <xf numFmtId="168" fontId="16" fillId="0" borderId="22" xfId="0" applyNumberFormat="1" applyFont="1" applyBorder="1"/>
    <xf numFmtId="168" fontId="16" fillId="0" borderId="10" xfId="0" applyNumberFormat="1" applyFont="1" applyBorder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168" fontId="2" fillId="0" borderId="0" xfId="1" applyNumberFormat="1"/>
    <xf numFmtId="2" fontId="2" fillId="5" borderId="9" xfId="1" applyNumberFormat="1" applyFill="1" applyBorder="1" applyAlignment="1">
      <alignment horizontal="center"/>
    </xf>
    <xf numFmtId="2" fontId="2" fillId="5" borderId="9" xfId="1" applyNumberFormat="1" applyFill="1" applyBorder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4" xfId="0" applyFill="1" applyBorder="1"/>
    <xf numFmtId="0" fontId="0" fillId="3" borderId="0" xfId="0" applyFill="1"/>
    <xf numFmtId="0" fontId="3" fillId="3" borderId="0" xfId="0" applyFont="1" applyFill="1"/>
    <xf numFmtId="0" fontId="0" fillId="3" borderId="5" xfId="0" applyFill="1" applyBorder="1"/>
    <xf numFmtId="0" fontId="0" fillId="2" borderId="6" xfId="0" applyFill="1" applyBorder="1"/>
    <xf numFmtId="0" fontId="0" fillId="2" borderId="7" xfId="0" applyFill="1" applyBorder="1"/>
    <xf numFmtId="49" fontId="0" fillId="2" borderId="7" xfId="0" applyNumberFormat="1" applyFill="1" applyBorder="1"/>
    <xf numFmtId="0" fontId="0" fillId="2" borderId="8" xfId="0" applyFill="1" applyBorder="1"/>
    <xf numFmtId="0" fontId="3" fillId="0" borderId="0" xfId="0" applyFont="1" applyAlignment="1">
      <alignment horizontal="center" wrapText="1"/>
    </xf>
    <xf numFmtId="0" fontId="0" fillId="0" borderId="9" xfId="0" applyBorder="1" applyAlignment="1">
      <alignment vertical="top" wrapText="1"/>
    </xf>
    <xf numFmtId="0" fontId="0" fillId="0" borderId="9" xfId="0" applyBorder="1" applyAlignment="1">
      <alignment horizontal="center" vertical="top" wrapText="1"/>
    </xf>
    <xf numFmtId="0" fontId="4" fillId="0" borderId="9" xfId="0" applyFont="1" applyBorder="1" applyAlignment="1">
      <alignment vertical="top" wrapText="1"/>
    </xf>
    <xf numFmtId="49" fontId="0" fillId="3" borderId="9" xfId="0" applyNumberForma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top" wrapText="1"/>
    </xf>
    <xf numFmtId="0" fontId="0" fillId="4" borderId="9" xfId="0" applyFill="1" applyBorder="1" applyAlignment="1">
      <alignment horizontal="center" vertical="top" wrapText="1"/>
    </xf>
    <xf numFmtId="0" fontId="0" fillId="4" borderId="9" xfId="0" applyFill="1" applyBorder="1" applyAlignment="1">
      <alignment horizontal="center" vertical="center" wrapText="1"/>
    </xf>
    <xf numFmtId="0" fontId="0" fillId="4" borderId="9" xfId="0" quotePrefix="1" applyFill="1" applyBorder="1" applyAlignment="1">
      <alignment horizontal="center" vertical="top" wrapText="1"/>
    </xf>
    <xf numFmtId="0" fontId="0" fillId="5" borderId="10" xfId="0" applyFill="1" applyBorder="1" applyAlignment="1">
      <alignment horizontal="left"/>
    </xf>
    <xf numFmtId="0" fontId="0" fillId="5" borderId="11" xfId="0" applyFill="1" applyBorder="1"/>
    <xf numFmtId="14" fontId="0" fillId="5" borderId="9" xfId="0" applyNumberFormat="1" applyFill="1" applyBorder="1"/>
    <xf numFmtId="14" fontId="0" fillId="5" borderId="9" xfId="0" applyNumberFormat="1" applyFill="1" applyBorder="1" applyAlignment="1">
      <alignment horizontal="center" vertical="center"/>
    </xf>
    <xf numFmtId="0" fontId="0" fillId="5" borderId="9" xfId="0" applyFill="1" applyBorder="1"/>
    <xf numFmtId="0" fontId="0" fillId="5" borderId="12" xfId="0" applyFill="1" applyBorder="1" applyAlignment="1">
      <alignment horizontal="left"/>
    </xf>
    <xf numFmtId="0" fontId="0" fillId="5" borderId="13" xfId="0" applyFill="1" applyBorder="1"/>
    <xf numFmtId="0" fontId="0" fillId="5" borderId="9" xfId="0" applyFill="1" applyBorder="1" applyAlignment="1">
      <alignment horizontal="right"/>
    </xf>
    <xf numFmtId="0" fontId="0" fillId="5" borderId="9" xfId="0" applyFill="1" applyBorder="1" applyAlignment="1">
      <alignment horizontal="center" vertical="center"/>
    </xf>
    <xf numFmtId="165" fontId="0" fillId="5" borderId="9" xfId="0" applyNumberForma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 wrapText="1"/>
    </xf>
    <xf numFmtId="0" fontId="3" fillId="5" borderId="15" xfId="0" applyFont="1" applyFill="1" applyBorder="1" applyAlignment="1">
      <alignment vertical="center" wrapText="1"/>
    </xf>
    <xf numFmtId="0" fontId="0" fillId="5" borderId="9" xfId="0" applyFill="1" applyBorder="1" applyAlignment="1">
      <alignment horizontal="center" vertical="center" wrapText="1"/>
    </xf>
    <xf numFmtId="0" fontId="0" fillId="5" borderId="16" xfId="0" applyFill="1" applyBorder="1"/>
    <xf numFmtId="167" fontId="0" fillId="5" borderId="9" xfId="0" applyNumberFormat="1" applyFill="1" applyBorder="1" applyAlignment="1">
      <alignment horizontal="center" vertical="center"/>
    </xf>
    <xf numFmtId="0" fontId="0" fillId="5" borderId="16" xfId="0" applyFill="1" applyBorder="1" applyAlignment="1">
      <alignment horizontal="right"/>
    </xf>
    <xf numFmtId="14" fontId="0" fillId="5" borderId="9" xfId="0" applyNumberFormat="1" applyFill="1" applyBorder="1" applyAlignment="1">
      <alignment horizontal="right"/>
    </xf>
    <xf numFmtId="0" fontId="3" fillId="5" borderId="15" xfId="0" applyFont="1" applyFill="1" applyBorder="1" applyAlignment="1">
      <alignment horizontal="center" vertical="center" wrapText="1"/>
    </xf>
    <xf numFmtId="0" fontId="0" fillId="5" borderId="9" xfId="0" applyFill="1" applyBorder="1" applyAlignment="1">
      <alignment vertical="top"/>
    </xf>
    <xf numFmtId="0" fontId="0" fillId="0" borderId="9" xfId="0" applyBorder="1" applyAlignment="1">
      <alignment vertical="top"/>
    </xf>
    <xf numFmtId="0" fontId="3" fillId="0" borderId="0" xfId="0" applyFont="1"/>
    <xf numFmtId="164" fontId="0" fillId="5" borderId="9" xfId="0" applyNumberFormat="1" applyFill="1" applyBorder="1" applyAlignment="1">
      <alignment horizontal="center" vertical="center"/>
    </xf>
    <xf numFmtId="0" fontId="0" fillId="5" borderId="9" xfId="0" applyFill="1" applyBorder="1" applyAlignment="1">
      <alignment horizontal="center"/>
    </xf>
    <xf numFmtId="14" fontId="0" fillId="5" borderId="9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 wrapText="1"/>
    </xf>
    <xf numFmtId="0" fontId="0" fillId="5" borderId="16" xfId="0" applyFill="1" applyBorder="1" applyAlignment="1">
      <alignment horizontal="center"/>
    </xf>
    <xf numFmtId="165" fontId="0" fillId="5" borderId="9" xfId="0" applyNumberFormat="1" applyFill="1" applyBorder="1" applyAlignment="1">
      <alignment horizontal="center"/>
    </xf>
    <xf numFmtId="165" fontId="0" fillId="5" borderId="16" xfId="0" applyNumberFormat="1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0" fontId="12" fillId="0" borderId="0" xfId="0" applyFont="1" applyAlignment="1">
      <alignment horizontal="center" wrapText="1"/>
    </xf>
    <xf numFmtId="164" fontId="0" fillId="5" borderId="16" xfId="0" applyNumberFormat="1" applyFill="1" applyBorder="1" applyAlignment="1">
      <alignment horizontal="center"/>
    </xf>
    <xf numFmtId="0" fontId="0" fillId="7" borderId="9" xfId="0" applyFill="1" applyBorder="1" applyAlignment="1">
      <alignment horizontal="center" vertical="center" wrapText="1"/>
    </xf>
    <xf numFmtId="14" fontId="0" fillId="5" borderId="9" xfId="0" applyNumberFormat="1" applyFill="1" applyBorder="1" applyAlignment="1">
      <alignment horizontal="center" wrapText="1"/>
    </xf>
    <xf numFmtId="165" fontId="0" fillId="5" borderId="9" xfId="0" applyNumberFormat="1" applyFill="1" applyBorder="1" applyAlignment="1">
      <alignment horizontal="center" wrapText="1"/>
    </xf>
    <xf numFmtId="0" fontId="10" fillId="5" borderId="9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left" vertical="top" wrapText="1"/>
    </xf>
    <xf numFmtId="0" fontId="18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2" fillId="0" borderId="0" xfId="1" applyAlignment="1">
      <alignment horizontal="center"/>
    </xf>
    <xf numFmtId="15" fontId="2" fillId="5" borderId="9" xfId="1" applyNumberFormat="1" applyFill="1" applyBorder="1" applyAlignment="1">
      <alignment horizontal="right"/>
    </xf>
    <xf numFmtId="0" fontId="2" fillId="0" borderId="0" xfId="1" applyAlignment="1">
      <alignment horizontal="center" vertical="center"/>
    </xf>
    <xf numFmtId="0" fontId="2" fillId="7" borderId="9" xfId="1" applyFill="1" applyBorder="1" applyAlignment="1">
      <alignment horizontal="center" vertical="center" wrapText="1"/>
    </xf>
    <xf numFmtId="15" fontId="2" fillId="5" borderId="9" xfId="1" applyNumberFormat="1" applyFill="1" applyBorder="1" applyAlignment="1">
      <alignment horizontal="center"/>
    </xf>
    <xf numFmtId="0" fontId="2" fillId="0" borderId="9" xfId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3" fillId="6" borderId="0" xfId="1" applyFont="1" applyFill="1" applyAlignment="1">
      <alignment horizontal="center" vertical="center"/>
    </xf>
    <xf numFmtId="14" fontId="0" fillId="5" borderId="9" xfId="0" applyNumberFormat="1" applyFill="1" applyBorder="1" applyAlignment="1">
      <alignment horizontal="center" vertical="center" wrapText="1"/>
    </xf>
    <xf numFmtId="165" fontId="0" fillId="5" borderId="9" xfId="0" applyNumberForma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6" borderId="0" xfId="1" applyFont="1" applyFill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7" borderId="9" xfId="1" applyFont="1" applyFill="1" applyBorder="1" applyAlignment="1">
      <alignment horizontal="center" vertical="center" wrapText="1"/>
    </xf>
    <xf numFmtId="0" fontId="2" fillId="2" borderId="2" xfId="1" applyFill="1" applyBorder="1" applyAlignment="1">
      <alignment horizontal="center" vertical="center"/>
    </xf>
    <xf numFmtId="0" fontId="2" fillId="3" borderId="0" xfId="1" applyFill="1" applyAlignment="1">
      <alignment horizontal="center" vertical="center"/>
    </xf>
    <xf numFmtId="0" fontId="2" fillId="2" borderId="7" xfId="1" applyFill="1" applyBorder="1" applyAlignment="1">
      <alignment horizontal="center" vertical="center"/>
    </xf>
    <xf numFmtId="166" fontId="2" fillId="5" borderId="9" xfId="1" applyNumberFormat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2" fillId="3" borderId="5" xfId="1" applyFill="1" applyBorder="1" applyAlignment="1">
      <alignment horizontal="center" vertical="center"/>
    </xf>
    <xf numFmtId="0" fontId="2" fillId="2" borderId="8" xfId="1" applyFill="1" applyBorder="1" applyAlignment="1">
      <alignment horizontal="center" vertical="center"/>
    </xf>
    <xf numFmtId="165" fontId="2" fillId="5" borderId="16" xfId="1" applyNumberFormat="1" applyFill="1" applyBorder="1" applyAlignment="1">
      <alignment horizontal="center" vertical="center"/>
    </xf>
    <xf numFmtId="14" fontId="0" fillId="5" borderId="16" xfId="0" applyNumberFormat="1" applyFill="1" applyBorder="1"/>
    <xf numFmtId="0" fontId="2" fillId="2" borderId="26" xfId="1" applyFill="1" applyBorder="1" applyAlignment="1">
      <alignment horizontal="center" vertical="center"/>
    </xf>
    <xf numFmtId="0" fontId="2" fillId="3" borderId="27" xfId="1" applyFill="1" applyBorder="1" applyAlignment="1">
      <alignment horizontal="center" vertical="center"/>
    </xf>
    <xf numFmtId="0" fontId="2" fillId="2" borderId="28" xfId="1" applyFill="1" applyBorder="1" applyAlignment="1">
      <alignment horizontal="center" vertical="center"/>
    </xf>
    <xf numFmtId="49" fontId="2" fillId="0" borderId="0" xfId="1" applyNumberFormat="1" applyAlignment="1">
      <alignment horizontal="center" vertical="center"/>
    </xf>
    <xf numFmtId="0" fontId="4" fillId="0" borderId="9" xfId="1" applyFont="1" applyBorder="1" applyAlignment="1">
      <alignment horizontal="center" vertical="center" wrapText="1"/>
    </xf>
    <xf numFmtId="14" fontId="2" fillId="5" borderId="16" xfId="1" applyNumberFormat="1" applyFill="1" applyBorder="1" applyAlignment="1">
      <alignment horizontal="center" vertical="center"/>
    </xf>
    <xf numFmtId="0" fontId="2" fillId="7" borderId="9" xfId="1" applyFill="1" applyBorder="1" applyAlignment="1">
      <alignment horizontal="center" vertical="center"/>
    </xf>
    <xf numFmtId="0" fontId="19" fillId="0" borderId="0" xfId="1" applyFont="1"/>
    <xf numFmtId="0" fontId="19" fillId="0" borderId="9" xfId="1" applyFont="1" applyBorder="1" applyAlignment="1">
      <alignment vertical="top" wrapText="1"/>
    </xf>
    <xf numFmtId="14" fontId="1" fillId="5" borderId="9" xfId="1" applyNumberFormat="1" applyFont="1" applyFill="1" applyBorder="1" applyAlignment="1">
      <alignment horizontal="center" vertical="center"/>
    </xf>
    <xf numFmtId="0" fontId="1" fillId="5" borderId="9" xfId="1" applyFont="1" applyFill="1" applyBorder="1" applyAlignment="1">
      <alignment horizontal="center" vertical="center"/>
    </xf>
    <xf numFmtId="14" fontId="2" fillId="0" borderId="0" xfId="1" applyNumberFormat="1"/>
    <xf numFmtId="0" fontId="1" fillId="0" borderId="9" xfId="0" applyFont="1" applyBorder="1" applyAlignment="1">
      <alignment vertical="top" wrapText="1"/>
    </xf>
    <xf numFmtId="0" fontId="1" fillId="8" borderId="21" xfId="1" applyFont="1" applyFill="1" applyBorder="1" applyAlignment="1">
      <alignment horizontal="left"/>
    </xf>
    <xf numFmtId="164" fontId="1" fillId="5" borderId="9" xfId="1" applyNumberFormat="1" applyFont="1" applyFill="1" applyBorder="1" applyAlignment="1">
      <alignment horizontal="center" vertical="center"/>
    </xf>
    <xf numFmtId="0" fontId="1" fillId="0" borderId="0" xfId="1" applyFont="1"/>
    <xf numFmtId="14" fontId="1" fillId="5" borderId="9" xfId="1" applyNumberFormat="1" applyFont="1" applyFill="1" applyBorder="1"/>
    <xf numFmtId="0" fontId="1" fillId="5" borderId="9" xfId="1" applyFont="1" applyFill="1" applyBorder="1" applyAlignment="1">
      <alignment horizontal="center"/>
    </xf>
    <xf numFmtId="0" fontId="1" fillId="8" borderId="21" xfId="1" applyFont="1" applyFill="1" applyBorder="1" applyAlignment="1">
      <alignment horizontal="center" vertical="center"/>
    </xf>
    <xf numFmtId="0" fontId="1" fillId="8" borderId="21" xfId="1" applyFont="1" applyFill="1" applyBorder="1" applyAlignment="1">
      <alignment horizontal="center" vertical="center" wrapText="1"/>
    </xf>
    <xf numFmtId="0" fontId="1" fillId="2" borderId="26" xfId="1" applyFont="1" applyFill="1" applyBorder="1" applyAlignment="1">
      <alignment horizontal="center" vertical="center"/>
    </xf>
    <xf numFmtId="0" fontId="1" fillId="3" borderId="27" xfId="1" applyFont="1" applyFill="1" applyBorder="1" applyAlignment="1">
      <alignment horizontal="center" vertical="center"/>
    </xf>
    <xf numFmtId="0" fontId="1" fillId="2" borderId="28" xfId="1" applyFont="1" applyFill="1" applyBorder="1" applyAlignment="1">
      <alignment horizontal="center" vertical="center"/>
    </xf>
    <xf numFmtId="0" fontId="1" fillId="10" borderId="9" xfId="1" applyFont="1" applyFill="1" applyBorder="1" applyAlignment="1">
      <alignment horizontal="center" vertical="center" wrapText="1"/>
    </xf>
    <xf numFmtId="0" fontId="1" fillId="0" borderId="9" xfId="1" applyFont="1" applyBorder="1" applyAlignment="1">
      <alignment horizontal="center" vertical="center" wrapText="1"/>
    </xf>
    <xf numFmtId="0" fontId="1" fillId="5" borderId="9" xfId="1" applyFont="1" applyFill="1" applyBorder="1" applyAlignment="1">
      <alignment horizontal="center" vertical="center" wrapText="1"/>
    </xf>
    <xf numFmtId="14" fontId="1" fillId="5" borderId="9" xfId="1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1" fillId="0" borderId="9" xfId="0" applyFont="1" applyBorder="1" applyAlignment="1">
      <alignment horizontal="right" vertical="center"/>
    </xf>
    <xf numFmtId="0" fontId="14" fillId="0" borderId="16" xfId="0" applyFont="1" applyBorder="1" applyAlignment="1">
      <alignment horizontal="left" vertical="center" wrapText="1"/>
    </xf>
    <xf numFmtId="0" fontId="21" fillId="0" borderId="22" xfId="0" applyFont="1" applyBorder="1" applyAlignment="1">
      <alignment horizontal="right" vertical="center"/>
    </xf>
    <xf numFmtId="0" fontId="21" fillId="7" borderId="22" xfId="0" applyFont="1" applyFill="1" applyBorder="1" applyAlignment="1">
      <alignment horizontal="right" vertical="center"/>
    </xf>
    <xf numFmtId="0" fontId="20" fillId="0" borderId="15" xfId="0" applyFont="1" applyBorder="1" applyAlignment="1">
      <alignment horizontal="left" vertical="center"/>
    </xf>
    <xf numFmtId="0" fontId="20" fillId="0" borderId="20" xfId="0" applyFont="1" applyBorder="1" applyAlignment="1">
      <alignment horizontal="left" vertical="center"/>
    </xf>
    <xf numFmtId="0" fontId="20" fillId="0" borderId="14" xfId="0" applyFont="1" applyBorder="1" applyAlignment="1">
      <alignment horizontal="left" vertical="center"/>
    </xf>
    <xf numFmtId="0" fontId="14" fillId="0" borderId="11" xfId="0" applyFont="1" applyBorder="1" applyAlignment="1">
      <alignment horizontal="left" vertical="center" wrapText="1"/>
    </xf>
    <xf numFmtId="0" fontId="21" fillId="0" borderId="24" xfId="0" applyFont="1" applyBorder="1" applyAlignment="1">
      <alignment horizontal="right" vertical="center"/>
    </xf>
    <xf numFmtId="0" fontId="21" fillId="0" borderId="10" xfId="0" applyFont="1" applyBorder="1" applyAlignment="1">
      <alignment horizontal="right" vertical="center"/>
    </xf>
    <xf numFmtId="15" fontId="0" fillId="5" borderId="9" xfId="0" applyNumberFormat="1" applyFill="1" applyBorder="1" applyAlignment="1">
      <alignment horizontal="right"/>
    </xf>
    <xf numFmtId="0" fontId="0" fillId="0" borderId="0" xfId="0" applyAlignment="1"/>
    <xf numFmtId="0" fontId="0" fillId="3" borderId="9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0" borderId="25" xfId="0" applyFont="1" applyBorder="1" applyAlignment="1">
      <alignment horizontal="left"/>
    </xf>
    <xf numFmtId="0" fontId="2" fillId="3" borderId="9" xfId="1" applyFill="1" applyBorder="1" applyAlignment="1">
      <alignment horizontal="center" vertical="center"/>
    </xf>
    <xf numFmtId="0" fontId="2" fillId="4" borderId="9" xfId="1" applyFill="1" applyBorder="1" applyAlignment="1">
      <alignment horizontal="center" vertical="center"/>
    </xf>
    <xf numFmtId="0" fontId="6" fillId="0" borderId="25" xfId="1" applyFont="1" applyBorder="1" applyAlignment="1">
      <alignment horizontal="center"/>
    </xf>
    <xf numFmtId="0" fontId="1" fillId="0" borderId="0" xfId="1" applyFont="1" applyAlignment="1">
      <alignment horizontal="center"/>
    </xf>
    <xf numFmtId="0" fontId="2" fillId="0" borderId="0" xfId="1" applyAlignment="1">
      <alignment horizontal="center"/>
    </xf>
  </cellXfs>
  <cellStyles count="3">
    <cellStyle name="Comma 2" xfId="2" xr:uid="{00000000-0005-0000-0000-000000000000}"/>
    <cellStyle name="Normal" xfId="0" builtinId="0"/>
    <cellStyle name="Normal 2" xfId="1" xr:uid="{00000000-0005-0000-0000-000002000000}"/>
  </cellStyles>
  <dxfs count="1355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charset val="204"/>
        <scheme val="none"/>
      </font>
      <alignment horizontal="right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9"/>
        <color theme="1"/>
        <name val="arial"/>
        <family val="2"/>
        <charset val="20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8" formatCode="0.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scheme val="none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2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4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511320</xdr:colOff>
      <xdr:row>2</xdr:row>
      <xdr:rowOff>21476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FDC144-87B6-4FE4-906F-9F4A18BD5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4400" cy="5015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649432</xdr:colOff>
      <xdr:row>2</xdr:row>
      <xdr:rowOff>21476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E45B4A-4E1D-42DB-ABA6-9B76F3FA6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87732" cy="5015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766816</xdr:colOff>
      <xdr:row>2</xdr:row>
      <xdr:rowOff>135776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37B529-F983-4157-A2C7-78B2D59DF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83196" cy="5015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2</xdr:col>
      <xdr:colOff>784370</xdr:colOff>
      <xdr:row>2</xdr:row>
      <xdr:rowOff>128156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7B7497A-48D1-4E73-9371-B07048276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300750" cy="50153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225570</xdr:colOff>
      <xdr:row>2</xdr:row>
      <xdr:rowOff>135776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423754F-6A2A-4455-89D9-280178A1E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8210" cy="5015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177263</xdr:colOff>
      <xdr:row>2</xdr:row>
      <xdr:rowOff>16124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A73F59-E818-4B94-8C6D-69D65232D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82561" cy="4983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734250</xdr:colOff>
      <xdr:row>2</xdr:row>
      <xdr:rowOff>19299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1ED6047-48F4-48F7-8C6A-EC3F92C9F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76665" cy="50153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793667</xdr:colOff>
      <xdr:row>2</xdr:row>
      <xdr:rowOff>12949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DB2DE8-AA21-4BCA-991D-201D940C6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88276" cy="49518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776750</xdr:colOff>
      <xdr:row>2</xdr:row>
      <xdr:rowOff>29414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9B8331-A183-4B47-8F52-B82633CD5B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3130" cy="50947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2</xdr:col>
      <xdr:colOff>783417</xdr:colOff>
      <xdr:row>2</xdr:row>
      <xdr:rowOff>13856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45A202-D50F-429D-9074-54F13ECC7E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9797" cy="5015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2</xdr:col>
      <xdr:colOff>776432</xdr:colOff>
      <xdr:row>2</xdr:row>
      <xdr:rowOff>13856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609E17E-73D1-43F0-83E9-631B8C44C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2812" cy="50153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</xdr:col>
      <xdr:colOff>1169678</xdr:colOff>
      <xdr:row>2</xdr:row>
      <xdr:rowOff>7053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00DA07D-5CEC-40E8-949A-E2CAF0316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309503" cy="50153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752620</xdr:colOff>
      <xdr:row>1</xdr:row>
      <xdr:rowOff>84192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832F4FB-245D-442A-B8C2-405AEB1831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9480" cy="50153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651246</xdr:colOff>
      <xdr:row>2</xdr:row>
      <xdr:rowOff>10159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E2AFC2-993F-4C89-BF02-F3DE86F80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89546" cy="49836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712932</xdr:colOff>
      <xdr:row>2</xdr:row>
      <xdr:rowOff>135776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5A4F10-4FC8-492A-B095-2AFBEC19E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7892" cy="50153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792307</xdr:colOff>
      <xdr:row>2</xdr:row>
      <xdr:rowOff>17031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76901A-9463-4527-B8BA-D187F89A8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3447" cy="50153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395432</xdr:colOff>
      <xdr:row>2</xdr:row>
      <xdr:rowOff>135776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2F241A-F705-44E8-92A1-E3F71E81F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77572" cy="50153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816120</xdr:colOff>
      <xdr:row>2</xdr:row>
      <xdr:rowOff>21476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2FDD57-F2B0-426D-9508-4BAB1439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4400" cy="5015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2</xdr:col>
      <xdr:colOff>816120</xdr:colOff>
      <xdr:row>2</xdr:row>
      <xdr:rowOff>21476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FC95666-9CB4-4045-B661-E05F51303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4400" cy="501535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673245</xdr:colOff>
      <xdr:row>2</xdr:row>
      <xdr:rowOff>19360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8E48357-54D0-419C-9C59-95C1A9A2F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303925" cy="501535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728580</xdr:colOff>
      <xdr:row>2</xdr:row>
      <xdr:rowOff>19299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C98F5D0-1723-408C-BB96-1D2057C780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0680" cy="50153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2</xdr:col>
      <xdr:colOff>739012</xdr:colOff>
      <xdr:row>2</xdr:row>
      <xdr:rowOff>30412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BBD63CB-E99C-49E8-8061-14677F4DB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301112" cy="5126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2</xdr:col>
      <xdr:colOff>736744</xdr:colOff>
      <xdr:row>2</xdr:row>
      <xdr:rowOff>30412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0BF7DF0-6036-481A-9109-3D8DE19C1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8844" cy="5126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760557</xdr:colOff>
      <xdr:row>2</xdr:row>
      <xdr:rowOff>30789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625C394-8A0E-4BAB-81C0-128431DA3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9797" cy="514235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736745</xdr:colOff>
      <xdr:row>2</xdr:row>
      <xdr:rowOff>135776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4DD454-F342-4F6A-8928-C06E24F6C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1225" cy="501535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776432</xdr:colOff>
      <xdr:row>2</xdr:row>
      <xdr:rowOff>135776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FD6E2E6-3C91-4BCB-8142-BFC2B3717B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300432" cy="501535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776750</xdr:colOff>
      <xdr:row>2</xdr:row>
      <xdr:rowOff>143714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5E2B84-A8E8-4B6F-8574-580FA5703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53125" cy="5342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2</xdr:col>
      <xdr:colOff>783417</xdr:colOff>
      <xdr:row>2</xdr:row>
      <xdr:rowOff>128156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D8C86BF-19C5-4E74-AD68-691D1EA63A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59792" cy="5186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2</xdr:col>
      <xdr:colOff>776432</xdr:colOff>
      <xdr:row>2</xdr:row>
      <xdr:rowOff>128156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878F3E4-915F-4C19-B398-AB29E535B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52807" cy="51868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776750</xdr:colOff>
      <xdr:row>2</xdr:row>
      <xdr:rowOff>29414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7EDC5DF-4ED8-4C5F-81B9-79FB53A7C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53125" cy="5342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2</xdr:col>
      <xdr:colOff>783417</xdr:colOff>
      <xdr:row>2</xdr:row>
      <xdr:rowOff>13856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B651F21-7FD6-4DD4-80CE-198414015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59792" cy="5186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1</xdr:rowOff>
    </xdr:from>
    <xdr:to>
      <xdr:col>2</xdr:col>
      <xdr:colOff>776432</xdr:colOff>
      <xdr:row>2</xdr:row>
      <xdr:rowOff>13856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D1F78C2-408F-403C-AB91-B49D9AED1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52807" cy="51868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752620</xdr:colOff>
      <xdr:row>2</xdr:row>
      <xdr:rowOff>135776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3BDDC0A-572D-4889-8887-9C3434654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9480" cy="50153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776432</xdr:colOff>
      <xdr:row>2</xdr:row>
      <xdr:rowOff>135776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2D3FC6-AF05-481A-A07F-5FB39A2B1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2812" cy="501535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736745</xdr:colOff>
      <xdr:row>2</xdr:row>
      <xdr:rowOff>142126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3B04695-D7CD-4005-AFC7-27277B71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1225" cy="507885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666895</xdr:colOff>
      <xdr:row>2</xdr:row>
      <xdr:rowOff>142126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C680114-05B1-47BF-9A65-9DCDBA3E7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7575" cy="507885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752620</xdr:colOff>
      <xdr:row>2</xdr:row>
      <xdr:rowOff>21476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B8ED5DF-8D73-4DAA-A488-22980D8B2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1860" cy="501535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762145</xdr:colOff>
      <xdr:row>2</xdr:row>
      <xdr:rowOff>132601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96B8F6D-7742-4D6B-BD16-81FA3EBF0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3765" cy="498360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808182</xdr:colOff>
      <xdr:row>2</xdr:row>
      <xdr:rowOff>135776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7F1C0C-1B9E-4D53-B780-CA22C04CC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83287" cy="501535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716107</xdr:colOff>
      <xdr:row>2</xdr:row>
      <xdr:rowOff>135776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C6933E-EB55-46B7-802A-4C296A754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7892" cy="50153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716107</xdr:colOff>
      <xdr:row>2</xdr:row>
      <xdr:rowOff>135776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87B3146-A6CF-4D21-8FE5-E2645B29C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297892" cy="501535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811357</xdr:colOff>
      <xdr:row>2</xdr:row>
      <xdr:rowOff>21476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ADA050C-0667-4C1B-9877-AB5C33DB4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2301702" cy="50153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118" totalsRowShown="0" headerRowDxfId="1354" headerRowBorderDxfId="1353" tableBorderDxfId="1352" totalsRowBorderDxfId="1351">
  <autoFilter ref="A1:C118" xr:uid="{00000000-0009-0000-0100-000001000000}"/>
  <tableColumns count="3">
    <tableColumn id="1" xr3:uid="{00000000-0010-0000-0000-000001000000}" name="Pump tag" dataDxfId="1350"/>
    <tableColumn id="2" xr3:uid="{00000000-0010-0000-0000-000002000000}" name="Pump Components" dataDxfId="1349"/>
    <tableColumn id="3" xr3:uid="{00000000-0010-0000-0000-000003000000}" name="Average Runtime (h)" dataDxfId="1348">
      <calculatedColumnFormula>getaverageruntime($A$100,B2)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FE4ECA-7E5C-46C9-8B7C-6B9851DEA911}" name="My Table" displayName="My_Table" ref="A2:G16" totalsRowShown="0" headerRowDxfId="1347" dataDxfId="1345" headerRowBorderDxfId="1346" tableBorderDxfId="1344" totalsRowBorderDxfId="1343">
  <autoFilter ref="A2:G16" xr:uid="{C4FE4ECA-7E5C-46C9-8B7C-6B9851DEA911}"/>
  <tableColumns count="7">
    <tableColumn id="1" xr3:uid="{1029F672-834F-4DA4-AFCA-C23A9F416C5D}" name="Part Number" dataDxfId="1342"/>
    <tableColumn id="2" xr3:uid="{8AA5B8DF-6C7A-413A-84F1-68387F600922}" name="Average Runtime(h)" dataDxfId="1341"/>
    <tableColumn id="3" xr3:uid="{26165290-0FC5-43EF-BB42-E87B65008EED}" name="Previous Replacement(h)" dataDxfId="1340"/>
    <tableColumn id="4" xr3:uid="{19D50641-194B-4234-90FC-D4EBC5149AAF}" name="Current МН DCS" dataDxfId="1339"/>
    <tableColumn id="5" xr3:uid="{3268D0E9-FC40-48D4-91B4-8EABA81CD393}" name="Next Part Change for MH" dataDxfId="1338"/>
    <tableColumn id="6" xr3:uid="{6C152E8F-5E2D-4114-BE67-D936BCDEB0D8}" name="Running time %" dataDxfId="1337"/>
    <tableColumn id="7" xr3:uid="{6135B3CB-3C72-4B49-8648-A13DDDE7407B}" name="Remaining life %" dataDxfId="1336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C118"/>
  <sheetViews>
    <sheetView topLeftCell="B1" workbookViewId="0">
      <selection activeCell="B30" sqref="B30"/>
    </sheetView>
  </sheetViews>
  <sheetFormatPr defaultRowHeight="14.5" x14ac:dyDescent="0.35"/>
  <cols>
    <col min="1" max="1" width="15.54296875" style="115" bestFit="1" customWidth="1"/>
    <col min="2" max="2" width="63.54296875" style="115" bestFit="1" customWidth="1"/>
    <col min="3" max="3" width="26.81640625" style="115" customWidth="1"/>
  </cols>
  <sheetData>
    <row r="1" spans="1:3" x14ac:dyDescent="0.35">
      <c r="A1" s="119" t="s">
        <v>0</v>
      </c>
      <c r="B1" s="120" t="s">
        <v>1</v>
      </c>
      <c r="C1" s="121" t="s">
        <v>2</v>
      </c>
    </row>
    <row r="2" spans="1:3" x14ac:dyDescent="0.35">
      <c r="A2" s="116" t="s">
        <v>3</v>
      </c>
      <c r="B2" s="115" t="s">
        <v>4</v>
      </c>
      <c r="C2" s="122">
        <f t="shared" ref="C2:C15" si="0">getaverageruntime($A$2,B2)</f>
        <v>4337.7777777777774</v>
      </c>
    </row>
    <row r="3" spans="1:3" x14ac:dyDescent="0.35">
      <c r="A3" s="116"/>
      <c r="B3" s="115" t="s">
        <v>5</v>
      </c>
      <c r="C3" s="122">
        <f t="shared" si="0"/>
        <v>8010.692708333333</v>
      </c>
    </row>
    <row r="4" spans="1:3" x14ac:dyDescent="0.35">
      <c r="A4" s="116"/>
      <c r="B4" s="115" t="s">
        <v>6</v>
      </c>
      <c r="C4" s="122">
        <f t="shared" si="0"/>
        <v>7462.5</v>
      </c>
    </row>
    <row r="5" spans="1:3" x14ac:dyDescent="0.35">
      <c r="A5" s="116"/>
      <c r="B5" s="115" t="s">
        <v>7</v>
      </c>
      <c r="C5" s="122">
        <f t="shared" si="0"/>
        <v>4337.7777777777774</v>
      </c>
    </row>
    <row r="6" spans="1:3" x14ac:dyDescent="0.35">
      <c r="A6" s="116"/>
      <c r="B6" s="115" t="s">
        <v>8</v>
      </c>
      <c r="C6" s="122">
        <f t="shared" si="0"/>
        <v>6008.01953125</v>
      </c>
    </row>
    <row r="7" spans="1:3" x14ac:dyDescent="0.35">
      <c r="A7" s="116"/>
      <c r="B7" s="115" t="s">
        <v>9</v>
      </c>
      <c r="C7" s="122">
        <f t="shared" si="0"/>
        <v>2968.01953125</v>
      </c>
    </row>
    <row r="8" spans="1:3" x14ac:dyDescent="0.35">
      <c r="A8" s="116"/>
      <c r="B8" s="115" t="s">
        <v>10</v>
      </c>
      <c r="C8" s="122">
        <f t="shared" si="0"/>
        <v>5577.1428571428569</v>
      </c>
    </row>
    <row r="9" spans="1:3" x14ac:dyDescent="0.35">
      <c r="A9" s="116"/>
      <c r="B9" s="115" t="s">
        <v>11</v>
      </c>
      <c r="C9" s="122">
        <f t="shared" si="0"/>
        <v>5970</v>
      </c>
    </row>
    <row r="10" spans="1:3" x14ac:dyDescent="0.35">
      <c r="A10" s="116"/>
      <c r="B10" s="115" t="s">
        <v>12</v>
      </c>
      <c r="C10" s="122">
        <f t="shared" si="0"/>
        <v>3904</v>
      </c>
    </row>
    <row r="11" spans="1:3" x14ac:dyDescent="0.35">
      <c r="A11" s="116"/>
      <c r="B11" s="115" t="s">
        <v>13</v>
      </c>
      <c r="C11" s="122">
        <f t="shared" si="0"/>
        <v>39040</v>
      </c>
    </row>
    <row r="12" spans="1:3" x14ac:dyDescent="0.35">
      <c r="A12" s="116"/>
      <c r="B12" s="115" t="s">
        <v>14</v>
      </c>
      <c r="C12" s="122">
        <f t="shared" si="0"/>
        <v>2841.25</v>
      </c>
    </row>
    <row r="13" spans="1:3" x14ac:dyDescent="0.35">
      <c r="A13" s="116"/>
      <c r="B13" s="115" t="s">
        <v>15</v>
      </c>
      <c r="C13" s="122">
        <f t="shared" si="0"/>
        <v>4767.828125</v>
      </c>
    </row>
    <row r="14" spans="1:3" x14ac:dyDescent="0.35">
      <c r="A14" s="116"/>
      <c r="B14" s="115" t="s">
        <v>16</v>
      </c>
      <c r="C14" s="122">
        <f t="shared" si="0"/>
        <v>4767.828125</v>
      </c>
    </row>
    <row r="15" spans="1:3" x14ac:dyDescent="0.35">
      <c r="A15" s="116"/>
      <c r="B15" s="115" t="s">
        <v>17</v>
      </c>
      <c r="C15" s="122">
        <f t="shared" si="0"/>
        <v>39040</v>
      </c>
    </row>
    <row r="16" spans="1:3" x14ac:dyDescent="0.35">
      <c r="A16" s="116" t="s">
        <v>18</v>
      </c>
      <c r="B16" s="115" t="s">
        <v>19</v>
      </c>
      <c r="C16" s="122">
        <f t="shared" ref="C16:C32" si="1">getaverageruntime($A$16,B16)</f>
        <v>0</v>
      </c>
    </row>
    <row r="17" spans="1:3" x14ac:dyDescent="0.35">
      <c r="A17" s="116"/>
      <c r="B17" s="115" t="s">
        <v>20</v>
      </c>
      <c r="C17" s="122">
        <f t="shared" si="1"/>
        <v>0</v>
      </c>
    </row>
    <row r="18" spans="1:3" x14ac:dyDescent="0.35">
      <c r="A18" s="116"/>
      <c r="B18" s="115" t="s">
        <v>21</v>
      </c>
      <c r="C18" s="122">
        <f t="shared" si="1"/>
        <v>0</v>
      </c>
    </row>
    <row r="19" spans="1:3" x14ac:dyDescent="0.35">
      <c r="A19" s="116"/>
      <c r="B19" s="115" t="s">
        <v>22</v>
      </c>
      <c r="C19" s="122">
        <f t="shared" si="1"/>
        <v>0</v>
      </c>
    </row>
    <row r="20" spans="1:3" x14ac:dyDescent="0.35">
      <c r="A20" s="116"/>
      <c r="B20" s="115" t="s">
        <v>23</v>
      </c>
      <c r="C20" s="122">
        <f t="shared" si="1"/>
        <v>0</v>
      </c>
    </row>
    <row r="21" spans="1:3" x14ac:dyDescent="0.35">
      <c r="A21" s="116"/>
      <c r="B21" s="115" t="s">
        <v>24</v>
      </c>
      <c r="C21" s="122">
        <f t="shared" si="1"/>
        <v>0</v>
      </c>
    </row>
    <row r="22" spans="1:3" x14ac:dyDescent="0.35">
      <c r="A22" s="116"/>
      <c r="B22" s="115" t="s">
        <v>25</v>
      </c>
      <c r="C22" s="122">
        <f t="shared" si="1"/>
        <v>0</v>
      </c>
    </row>
    <row r="23" spans="1:3" x14ac:dyDescent="0.35">
      <c r="A23" s="116"/>
      <c r="B23" s="115" t="s">
        <v>26</v>
      </c>
      <c r="C23" s="122">
        <f t="shared" si="1"/>
        <v>0</v>
      </c>
    </row>
    <row r="24" spans="1:3" x14ac:dyDescent="0.35">
      <c r="A24" s="116"/>
      <c r="B24" s="115" t="s">
        <v>27</v>
      </c>
      <c r="C24" s="122">
        <f t="shared" si="1"/>
        <v>0</v>
      </c>
    </row>
    <row r="25" spans="1:3" x14ac:dyDescent="0.35">
      <c r="A25" s="116"/>
      <c r="B25" s="115" t="s">
        <v>28</v>
      </c>
      <c r="C25" s="122">
        <f t="shared" si="1"/>
        <v>0</v>
      </c>
    </row>
    <row r="26" spans="1:3" x14ac:dyDescent="0.35">
      <c r="A26" s="116"/>
      <c r="B26" s="115" t="s">
        <v>29</v>
      </c>
      <c r="C26" s="122">
        <f t="shared" si="1"/>
        <v>0</v>
      </c>
    </row>
    <row r="27" spans="1:3" x14ac:dyDescent="0.35">
      <c r="A27" s="116"/>
      <c r="B27" s="115" t="s">
        <v>30</v>
      </c>
      <c r="C27" s="122">
        <f t="shared" si="1"/>
        <v>0</v>
      </c>
    </row>
    <row r="28" spans="1:3" x14ac:dyDescent="0.35">
      <c r="A28" s="116"/>
      <c r="B28" s="115" t="s">
        <v>31</v>
      </c>
      <c r="C28" s="122">
        <f t="shared" si="1"/>
        <v>0</v>
      </c>
    </row>
    <row r="29" spans="1:3" x14ac:dyDescent="0.35">
      <c r="A29" s="116"/>
      <c r="B29" s="115" t="s">
        <v>32</v>
      </c>
      <c r="C29" s="122">
        <f t="shared" si="1"/>
        <v>0</v>
      </c>
    </row>
    <row r="30" spans="1:3" x14ac:dyDescent="0.35">
      <c r="A30" s="116"/>
      <c r="B30" s="115" t="s">
        <v>33</v>
      </c>
      <c r="C30" s="122">
        <f t="shared" si="1"/>
        <v>0</v>
      </c>
    </row>
    <row r="31" spans="1:3" x14ac:dyDescent="0.35">
      <c r="A31" s="116"/>
      <c r="B31" s="115" t="s">
        <v>34</v>
      </c>
      <c r="C31" s="122">
        <f t="shared" si="1"/>
        <v>0</v>
      </c>
    </row>
    <row r="32" spans="1:3" x14ac:dyDescent="0.35">
      <c r="A32" s="116"/>
      <c r="B32" s="115" t="s">
        <v>35</v>
      </c>
      <c r="C32" s="122">
        <f t="shared" si="1"/>
        <v>0</v>
      </c>
    </row>
    <row r="33" spans="1:3" x14ac:dyDescent="0.35">
      <c r="A33" s="116" t="s">
        <v>36</v>
      </c>
      <c r="B33" s="115" t="s">
        <v>37</v>
      </c>
      <c r="C33" s="122">
        <f t="shared" ref="C33:C51" si="2">getaverageruntime($A$33,B33)</f>
        <v>0</v>
      </c>
    </row>
    <row r="34" spans="1:3" x14ac:dyDescent="0.35">
      <c r="A34" s="116"/>
      <c r="B34" s="115" t="s">
        <v>38</v>
      </c>
      <c r="C34" s="122">
        <f t="shared" si="2"/>
        <v>0</v>
      </c>
    </row>
    <row r="35" spans="1:3" x14ac:dyDescent="0.35">
      <c r="A35" s="116"/>
      <c r="B35" s="115" t="s">
        <v>39</v>
      </c>
      <c r="C35" s="122">
        <f t="shared" si="2"/>
        <v>0</v>
      </c>
    </row>
    <row r="36" spans="1:3" x14ac:dyDescent="0.35">
      <c r="A36" s="116"/>
      <c r="B36" s="115" t="s">
        <v>40</v>
      </c>
      <c r="C36" s="122">
        <f t="shared" si="2"/>
        <v>0</v>
      </c>
    </row>
    <row r="37" spans="1:3" x14ac:dyDescent="0.35">
      <c r="A37" s="116"/>
      <c r="B37" s="115" t="s">
        <v>41</v>
      </c>
      <c r="C37" s="122">
        <f t="shared" si="2"/>
        <v>0</v>
      </c>
    </row>
    <row r="38" spans="1:3" x14ac:dyDescent="0.35">
      <c r="A38" s="116"/>
      <c r="B38" s="115" t="s">
        <v>42</v>
      </c>
      <c r="C38" s="122">
        <f t="shared" si="2"/>
        <v>0</v>
      </c>
    </row>
    <row r="39" spans="1:3" x14ac:dyDescent="0.35">
      <c r="A39" s="116"/>
      <c r="B39" s="115" t="s">
        <v>43</v>
      </c>
      <c r="C39" s="122">
        <f t="shared" si="2"/>
        <v>0</v>
      </c>
    </row>
    <row r="40" spans="1:3" x14ac:dyDescent="0.35">
      <c r="A40" s="116"/>
      <c r="B40" s="115" t="s">
        <v>44</v>
      </c>
      <c r="C40" s="122">
        <f t="shared" si="2"/>
        <v>0</v>
      </c>
    </row>
    <row r="41" spans="1:3" x14ac:dyDescent="0.35">
      <c r="A41" s="116"/>
      <c r="B41" s="115" t="s">
        <v>45</v>
      </c>
      <c r="C41" s="122">
        <f t="shared" si="2"/>
        <v>0</v>
      </c>
    </row>
    <row r="42" spans="1:3" x14ac:dyDescent="0.35">
      <c r="A42" s="116"/>
      <c r="B42" s="115" t="s">
        <v>46</v>
      </c>
      <c r="C42" s="122">
        <f t="shared" si="2"/>
        <v>0</v>
      </c>
    </row>
    <row r="43" spans="1:3" x14ac:dyDescent="0.35">
      <c r="A43" s="116"/>
      <c r="B43" s="115" t="s">
        <v>47</v>
      </c>
      <c r="C43" s="122">
        <f t="shared" si="2"/>
        <v>15525</v>
      </c>
    </row>
    <row r="44" spans="1:3" x14ac:dyDescent="0.35">
      <c r="A44" s="116"/>
      <c r="B44" s="115" t="s">
        <v>48</v>
      </c>
      <c r="C44" s="122">
        <f t="shared" si="2"/>
        <v>0</v>
      </c>
    </row>
    <row r="45" spans="1:3" x14ac:dyDescent="0.35">
      <c r="A45" s="116"/>
      <c r="B45" s="115" t="s">
        <v>49</v>
      </c>
      <c r="C45" s="122">
        <f t="shared" si="2"/>
        <v>13503</v>
      </c>
    </row>
    <row r="46" spans="1:3" x14ac:dyDescent="0.35">
      <c r="A46" s="116"/>
      <c r="B46" s="115" t="s">
        <v>50</v>
      </c>
      <c r="C46" s="122">
        <f t="shared" si="2"/>
        <v>13503</v>
      </c>
    </row>
    <row r="47" spans="1:3" x14ac:dyDescent="0.35">
      <c r="A47" s="116"/>
      <c r="B47" s="115" t="s">
        <v>51</v>
      </c>
      <c r="C47" s="122">
        <f t="shared" si="2"/>
        <v>15525</v>
      </c>
    </row>
    <row r="48" spans="1:3" x14ac:dyDescent="0.35">
      <c r="A48" s="116"/>
      <c r="B48" s="115" t="s">
        <v>52</v>
      </c>
      <c r="C48" s="122">
        <f t="shared" si="2"/>
        <v>0</v>
      </c>
    </row>
    <row r="49" spans="1:3" x14ac:dyDescent="0.35">
      <c r="A49" s="116"/>
      <c r="B49" s="115" t="s">
        <v>53</v>
      </c>
      <c r="C49" s="122">
        <f t="shared" si="2"/>
        <v>15525</v>
      </c>
    </row>
    <row r="50" spans="1:3" x14ac:dyDescent="0.35">
      <c r="A50" s="116"/>
      <c r="B50" s="115" t="s">
        <v>54</v>
      </c>
      <c r="C50" s="122">
        <f t="shared" si="2"/>
        <v>0</v>
      </c>
    </row>
    <row r="51" spans="1:3" x14ac:dyDescent="0.35">
      <c r="A51" s="116"/>
      <c r="B51" s="115" t="s">
        <v>55</v>
      </c>
      <c r="C51" s="122">
        <f t="shared" si="2"/>
        <v>0</v>
      </c>
    </row>
    <row r="52" spans="1:3" x14ac:dyDescent="0.35">
      <c r="A52" s="116" t="s">
        <v>56</v>
      </c>
      <c r="B52" s="115" t="s">
        <v>57</v>
      </c>
      <c r="C52" s="122">
        <f t="shared" ref="C52:C61" si="3">getaverageruntime($A$52,B52)</f>
        <v>6737.4</v>
      </c>
    </row>
    <row r="53" spans="1:3" x14ac:dyDescent="0.35">
      <c r="A53" s="116"/>
      <c r="B53" s="115" t="s">
        <v>58</v>
      </c>
      <c r="C53" s="122">
        <f t="shared" si="3"/>
        <v>9344.6666666666661</v>
      </c>
    </row>
    <row r="54" spans="1:3" x14ac:dyDescent="0.35">
      <c r="A54" s="116"/>
      <c r="B54" s="115" t="s">
        <v>59</v>
      </c>
      <c r="C54" s="122">
        <f t="shared" si="3"/>
        <v>11017</v>
      </c>
    </row>
    <row r="55" spans="1:3" x14ac:dyDescent="0.35">
      <c r="A55" s="116"/>
      <c r="B55" s="115" t="s">
        <v>60</v>
      </c>
      <c r="C55" s="122">
        <f t="shared" si="3"/>
        <v>0</v>
      </c>
    </row>
    <row r="56" spans="1:3" x14ac:dyDescent="0.35">
      <c r="A56" s="116"/>
      <c r="B56" s="115" t="s">
        <v>61</v>
      </c>
      <c r="C56" s="122">
        <f t="shared" si="3"/>
        <v>14017</v>
      </c>
    </row>
    <row r="57" spans="1:3" x14ac:dyDescent="0.35">
      <c r="A57" s="116"/>
      <c r="B57" s="115" t="s">
        <v>62</v>
      </c>
      <c r="C57" s="122">
        <f t="shared" si="3"/>
        <v>3036.9230769230771</v>
      </c>
    </row>
    <row r="58" spans="1:3" x14ac:dyDescent="0.35">
      <c r="A58" s="116"/>
      <c r="B58" s="115" t="s">
        <v>63</v>
      </c>
      <c r="C58" s="122">
        <f t="shared" si="3"/>
        <v>4941.8888888888887</v>
      </c>
    </row>
    <row r="59" spans="1:3" x14ac:dyDescent="0.35">
      <c r="A59" s="116"/>
      <c r="B59" s="115" t="s">
        <v>64</v>
      </c>
      <c r="C59" s="122">
        <f t="shared" si="3"/>
        <v>14017</v>
      </c>
    </row>
    <row r="60" spans="1:3" x14ac:dyDescent="0.35">
      <c r="A60" s="116"/>
      <c r="B60" s="115" t="s">
        <v>65</v>
      </c>
      <c r="C60" s="122">
        <f t="shared" si="3"/>
        <v>0</v>
      </c>
    </row>
    <row r="61" spans="1:3" x14ac:dyDescent="0.35">
      <c r="A61" s="116"/>
      <c r="B61" s="115" t="s">
        <v>66</v>
      </c>
      <c r="C61" s="122">
        <f t="shared" si="3"/>
        <v>12248.666666666666</v>
      </c>
    </row>
    <row r="62" spans="1:3" x14ac:dyDescent="0.35">
      <c r="A62" s="116" t="s">
        <v>67</v>
      </c>
      <c r="B62" s="115" t="s">
        <v>68</v>
      </c>
      <c r="C62" s="122">
        <f t="shared" ref="C62:C75" si="4">getaverageruntime($A$62,B62)</f>
        <v>0</v>
      </c>
    </row>
    <row r="63" spans="1:3" x14ac:dyDescent="0.35">
      <c r="A63" s="116"/>
      <c r="B63" s="115" t="s">
        <v>69</v>
      </c>
      <c r="C63" s="122">
        <f t="shared" si="4"/>
        <v>0</v>
      </c>
    </row>
    <row r="64" spans="1:3" x14ac:dyDescent="0.35">
      <c r="A64" s="116"/>
      <c r="B64" s="115" t="s">
        <v>70</v>
      </c>
      <c r="C64" s="122">
        <f t="shared" si="4"/>
        <v>0</v>
      </c>
    </row>
    <row r="65" spans="1:3" x14ac:dyDescent="0.35">
      <c r="A65" s="116"/>
      <c r="B65" s="115" t="s">
        <v>7</v>
      </c>
      <c r="C65" s="122">
        <f t="shared" si="4"/>
        <v>0</v>
      </c>
    </row>
    <row r="66" spans="1:3" x14ac:dyDescent="0.35">
      <c r="A66" s="116"/>
      <c r="B66" s="115" t="s">
        <v>8</v>
      </c>
      <c r="C66" s="122">
        <f t="shared" si="4"/>
        <v>0</v>
      </c>
    </row>
    <row r="67" spans="1:3" x14ac:dyDescent="0.35">
      <c r="A67" s="116"/>
      <c r="B67" s="115" t="s">
        <v>9</v>
      </c>
      <c r="C67" s="122">
        <f t="shared" si="4"/>
        <v>0</v>
      </c>
    </row>
    <row r="68" spans="1:3" x14ac:dyDescent="0.35">
      <c r="A68" s="116"/>
      <c r="B68" s="115" t="s">
        <v>10</v>
      </c>
      <c r="C68" s="122">
        <f t="shared" si="4"/>
        <v>0</v>
      </c>
    </row>
    <row r="69" spans="1:3" x14ac:dyDescent="0.35">
      <c r="A69" s="116"/>
      <c r="B69" s="115" t="s">
        <v>11</v>
      </c>
      <c r="C69" s="122">
        <f t="shared" si="4"/>
        <v>0</v>
      </c>
    </row>
    <row r="70" spans="1:3" x14ac:dyDescent="0.35">
      <c r="A70" s="116"/>
      <c r="B70" s="115" t="s">
        <v>12</v>
      </c>
      <c r="C70" s="122">
        <f t="shared" si="4"/>
        <v>4918.25</v>
      </c>
    </row>
    <row r="71" spans="1:3" x14ac:dyDescent="0.35">
      <c r="A71" s="116"/>
      <c r="B71" s="115" t="s">
        <v>13</v>
      </c>
      <c r="C71" s="122">
        <f t="shared" si="4"/>
        <v>3934.6</v>
      </c>
    </row>
    <row r="72" spans="1:3" x14ac:dyDescent="0.35">
      <c r="A72" s="116"/>
      <c r="B72" s="115" t="s">
        <v>71</v>
      </c>
      <c r="C72" s="122">
        <f t="shared" si="4"/>
        <v>3934.6</v>
      </c>
    </row>
    <row r="73" spans="1:3" x14ac:dyDescent="0.35">
      <c r="A73" s="116"/>
      <c r="B73" s="115" t="s">
        <v>17</v>
      </c>
      <c r="C73" s="122">
        <f t="shared" si="4"/>
        <v>4918.5</v>
      </c>
    </row>
    <row r="74" spans="1:3" x14ac:dyDescent="0.35">
      <c r="A74" s="116"/>
      <c r="B74" s="115" t="s">
        <v>72</v>
      </c>
      <c r="C74" s="122">
        <f t="shared" si="4"/>
        <v>0</v>
      </c>
    </row>
    <row r="75" spans="1:3" x14ac:dyDescent="0.35">
      <c r="A75" s="116"/>
      <c r="B75" s="115" t="s">
        <v>16</v>
      </c>
      <c r="C75" s="122">
        <f t="shared" si="4"/>
        <v>0</v>
      </c>
    </row>
    <row r="76" spans="1:3" x14ac:dyDescent="0.35">
      <c r="A76" s="116" t="s">
        <v>73</v>
      </c>
      <c r="B76" s="115" t="s">
        <v>68</v>
      </c>
      <c r="C76" s="122">
        <f t="shared" ref="C76:C89" si="5">getaverageruntime($A$76,B76)</f>
        <v>10078.666666666666</v>
      </c>
    </row>
    <row r="77" spans="1:3" x14ac:dyDescent="0.35">
      <c r="A77" s="116"/>
      <c r="B77" s="115" t="s">
        <v>69</v>
      </c>
      <c r="C77" s="122">
        <f t="shared" si="5"/>
        <v>18581</v>
      </c>
    </row>
    <row r="78" spans="1:3" x14ac:dyDescent="0.35">
      <c r="A78" s="116"/>
      <c r="B78" s="115" t="s">
        <v>70</v>
      </c>
      <c r="C78" s="122">
        <f t="shared" si="5"/>
        <v>18581</v>
      </c>
    </row>
    <row r="79" spans="1:3" x14ac:dyDescent="0.35">
      <c r="A79" s="116"/>
      <c r="B79" s="115" t="s">
        <v>7</v>
      </c>
      <c r="C79" s="122">
        <f t="shared" si="5"/>
        <v>17037</v>
      </c>
    </row>
    <row r="80" spans="1:3" x14ac:dyDescent="0.35">
      <c r="A80" s="116"/>
      <c r="B80" s="115" t="s">
        <v>8</v>
      </c>
      <c r="C80" s="122">
        <f t="shared" si="5"/>
        <v>18581</v>
      </c>
    </row>
    <row r="81" spans="1:3" x14ac:dyDescent="0.35">
      <c r="A81" s="116"/>
      <c r="B81" s="115" t="s">
        <v>9</v>
      </c>
      <c r="C81" s="122">
        <f t="shared" si="5"/>
        <v>18581</v>
      </c>
    </row>
    <row r="82" spans="1:3" x14ac:dyDescent="0.35">
      <c r="A82" s="116"/>
      <c r="B82" s="115" t="s">
        <v>10</v>
      </c>
      <c r="C82" s="122">
        <f t="shared" si="5"/>
        <v>11358</v>
      </c>
    </row>
    <row r="83" spans="1:3" x14ac:dyDescent="0.35">
      <c r="A83" s="116"/>
      <c r="B83" s="115" t="s">
        <v>11</v>
      </c>
      <c r="C83" s="122">
        <f t="shared" si="5"/>
        <v>18581</v>
      </c>
    </row>
    <row r="84" spans="1:3" x14ac:dyDescent="0.35">
      <c r="A84" s="116"/>
      <c r="B84" s="115" t="s">
        <v>12</v>
      </c>
      <c r="C84" s="122">
        <f t="shared" si="5"/>
        <v>6558.2</v>
      </c>
    </row>
    <row r="85" spans="1:3" x14ac:dyDescent="0.35">
      <c r="A85" s="116"/>
      <c r="B85" s="115" t="s">
        <v>13</v>
      </c>
      <c r="C85" s="122">
        <f t="shared" si="5"/>
        <v>7559</v>
      </c>
    </row>
    <row r="86" spans="1:3" x14ac:dyDescent="0.35">
      <c r="A86" s="116"/>
      <c r="B86" s="115" t="s">
        <v>71</v>
      </c>
      <c r="C86" s="122">
        <f t="shared" si="5"/>
        <v>11722.666666666666</v>
      </c>
    </row>
    <row r="87" spans="1:3" x14ac:dyDescent="0.35">
      <c r="A87" s="116"/>
      <c r="B87" s="115" t="s">
        <v>17</v>
      </c>
      <c r="C87" s="122">
        <f t="shared" si="5"/>
        <v>8792</v>
      </c>
    </row>
    <row r="88" spans="1:3" x14ac:dyDescent="0.35">
      <c r="A88" s="116"/>
      <c r="B88" s="115" t="s">
        <v>72</v>
      </c>
      <c r="C88" s="122">
        <f t="shared" si="5"/>
        <v>17584</v>
      </c>
    </row>
    <row r="89" spans="1:3" x14ac:dyDescent="0.35">
      <c r="A89" s="116"/>
      <c r="B89" s="115" t="s">
        <v>16</v>
      </c>
      <c r="C89" s="122">
        <f t="shared" si="5"/>
        <v>18581</v>
      </c>
    </row>
    <row r="90" spans="1:3" x14ac:dyDescent="0.35">
      <c r="A90" s="116" t="s">
        <v>74</v>
      </c>
      <c r="B90" s="115" t="s">
        <v>57</v>
      </c>
      <c r="C90" s="122">
        <f t="shared" ref="C90:C99" si="6">getaverageruntime($A$90,B90)</f>
        <v>9006.5</v>
      </c>
    </row>
    <row r="91" spans="1:3" x14ac:dyDescent="0.35">
      <c r="A91" s="116"/>
      <c r="B91" s="115" t="s">
        <v>59</v>
      </c>
      <c r="C91" s="122">
        <f t="shared" si="6"/>
        <v>10970.333333333334</v>
      </c>
    </row>
    <row r="92" spans="1:3" x14ac:dyDescent="0.35">
      <c r="A92" s="116"/>
      <c r="B92" s="115" t="s">
        <v>75</v>
      </c>
      <c r="C92" s="122">
        <f t="shared" si="6"/>
        <v>0</v>
      </c>
    </row>
    <row r="93" spans="1:3" x14ac:dyDescent="0.35">
      <c r="A93" s="116"/>
      <c r="B93" s="115" t="s">
        <v>60</v>
      </c>
      <c r="C93" s="122">
        <f t="shared" si="6"/>
        <v>5804.6</v>
      </c>
    </row>
    <row r="94" spans="1:3" x14ac:dyDescent="0.35">
      <c r="A94" s="116"/>
      <c r="B94" s="115" t="s">
        <v>61</v>
      </c>
      <c r="C94" s="122">
        <f t="shared" si="6"/>
        <v>6436.5</v>
      </c>
    </row>
    <row r="95" spans="1:3" x14ac:dyDescent="0.35">
      <c r="A95" s="116"/>
      <c r="B95" s="115" t="s">
        <v>62</v>
      </c>
      <c r="C95" s="122">
        <f t="shared" si="6"/>
        <v>38619</v>
      </c>
    </row>
    <row r="96" spans="1:3" x14ac:dyDescent="0.35">
      <c r="A96" s="116"/>
      <c r="B96" s="115" t="s">
        <v>63</v>
      </c>
      <c r="C96" s="122">
        <f t="shared" si="6"/>
        <v>3510.818181818182</v>
      </c>
    </row>
    <row r="97" spans="1:3" x14ac:dyDescent="0.35">
      <c r="A97" s="116"/>
      <c r="B97" s="115" t="s">
        <v>64</v>
      </c>
      <c r="C97" s="122">
        <f t="shared" si="6"/>
        <v>4221.333333333333</v>
      </c>
    </row>
    <row r="98" spans="1:3" x14ac:dyDescent="0.35">
      <c r="A98" s="116"/>
      <c r="B98" s="115" t="s">
        <v>76</v>
      </c>
      <c r="C98" s="122">
        <f t="shared" si="6"/>
        <v>4827.375</v>
      </c>
    </row>
    <row r="99" spans="1:3" x14ac:dyDescent="0.35">
      <c r="A99" s="116"/>
      <c r="B99" s="115" t="s">
        <v>35</v>
      </c>
      <c r="C99" s="122">
        <f t="shared" si="6"/>
        <v>0</v>
      </c>
    </row>
    <row r="100" spans="1:3" x14ac:dyDescent="0.35">
      <c r="A100" s="116" t="s">
        <v>77</v>
      </c>
      <c r="B100" s="115" t="s">
        <v>57</v>
      </c>
      <c r="C100" s="122">
        <f t="shared" ref="C100:C118" si="7">getaverageruntime($A$100,B100)</f>
        <v>12867.666666666666</v>
      </c>
    </row>
    <row r="101" spans="1:3" x14ac:dyDescent="0.35">
      <c r="A101" s="116"/>
      <c r="B101" s="115" t="s">
        <v>78</v>
      </c>
      <c r="C101" s="122">
        <f t="shared" si="7"/>
        <v>0</v>
      </c>
    </row>
    <row r="102" spans="1:3" x14ac:dyDescent="0.35">
      <c r="A102" s="116"/>
      <c r="B102" s="115" t="s">
        <v>58</v>
      </c>
      <c r="C102" s="122">
        <f t="shared" si="7"/>
        <v>9650.75</v>
      </c>
    </row>
    <row r="103" spans="1:3" x14ac:dyDescent="0.35">
      <c r="A103" s="116"/>
      <c r="B103" s="115" t="s">
        <v>79</v>
      </c>
      <c r="C103" s="122">
        <f t="shared" si="7"/>
        <v>12504.5</v>
      </c>
    </row>
    <row r="104" spans="1:3" x14ac:dyDescent="0.35">
      <c r="A104" s="116"/>
      <c r="B104" s="115" t="s">
        <v>80</v>
      </c>
      <c r="C104" s="122">
        <f t="shared" si="7"/>
        <v>0</v>
      </c>
    </row>
    <row r="105" spans="1:3" x14ac:dyDescent="0.35">
      <c r="A105" s="116"/>
      <c r="B105" s="115" t="s">
        <v>81</v>
      </c>
      <c r="C105" s="122">
        <f t="shared" si="7"/>
        <v>0</v>
      </c>
    </row>
    <row r="106" spans="1:3" x14ac:dyDescent="0.35">
      <c r="A106" s="116"/>
      <c r="B106" s="115" t="s">
        <v>59</v>
      </c>
      <c r="C106" s="122">
        <f t="shared" si="7"/>
        <v>12504.5</v>
      </c>
    </row>
    <row r="107" spans="1:3" x14ac:dyDescent="0.35">
      <c r="A107" s="116"/>
      <c r="B107" s="115" t="s">
        <v>82</v>
      </c>
      <c r="C107" s="122">
        <f t="shared" si="7"/>
        <v>9462</v>
      </c>
    </row>
    <row r="108" spans="1:3" x14ac:dyDescent="0.35">
      <c r="A108" s="116"/>
      <c r="B108" s="115" t="s">
        <v>75</v>
      </c>
      <c r="C108" s="122">
        <f t="shared" si="7"/>
        <v>0</v>
      </c>
    </row>
    <row r="109" spans="1:3" x14ac:dyDescent="0.35">
      <c r="A109" s="116"/>
      <c r="B109" s="115" t="s">
        <v>83</v>
      </c>
      <c r="C109" s="122">
        <f t="shared" si="7"/>
        <v>0</v>
      </c>
    </row>
    <row r="110" spans="1:3" x14ac:dyDescent="0.35">
      <c r="A110" s="116"/>
      <c r="B110" s="115" t="s">
        <v>60</v>
      </c>
      <c r="C110" s="122">
        <f t="shared" si="7"/>
        <v>0</v>
      </c>
    </row>
    <row r="111" spans="1:3" x14ac:dyDescent="0.35">
      <c r="A111" s="116"/>
      <c r="B111" s="115" t="s">
        <v>61</v>
      </c>
      <c r="C111" s="122">
        <f t="shared" si="7"/>
        <v>9650.75</v>
      </c>
    </row>
    <row r="112" spans="1:3" x14ac:dyDescent="0.35">
      <c r="A112" s="116"/>
      <c r="B112" s="115" t="s">
        <v>62</v>
      </c>
      <c r="C112" s="122">
        <f t="shared" si="7"/>
        <v>5514.7142857142853</v>
      </c>
    </row>
    <row r="113" spans="1:3" x14ac:dyDescent="0.35">
      <c r="A113" s="116"/>
      <c r="B113" s="115" t="s">
        <v>63</v>
      </c>
      <c r="C113" s="122">
        <f t="shared" si="7"/>
        <v>38603</v>
      </c>
    </row>
    <row r="114" spans="1:3" x14ac:dyDescent="0.35">
      <c r="A114" s="116"/>
      <c r="B114" s="115" t="s">
        <v>84</v>
      </c>
      <c r="C114" s="122">
        <f t="shared" si="7"/>
        <v>0</v>
      </c>
    </row>
    <row r="115" spans="1:3" x14ac:dyDescent="0.35">
      <c r="A115" s="116"/>
      <c r="B115" s="115" t="s">
        <v>85</v>
      </c>
      <c r="C115" s="122">
        <f t="shared" si="7"/>
        <v>0</v>
      </c>
    </row>
    <row r="116" spans="1:3" x14ac:dyDescent="0.35">
      <c r="A116" s="116"/>
      <c r="B116" s="115" t="s">
        <v>86</v>
      </c>
      <c r="C116" s="122">
        <f t="shared" si="7"/>
        <v>0</v>
      </c>
    </row>
    <row r="117" spans="1:3" x14ac:dyDescent="0.35">
      <c r="A117" s="116"/>
      <c r="B117" s="115" t="s">
        <v>87</v>
      </c>
      <c r="C117" s="122">
        <f t="shared" si="7"/>
        <v>0</v>
      </c>
    </row>
    <row r="118" spans="1:3" x14ac:dyDescent="0.35">
      <c r="A118" s="117"/>
      <c r="B118" s="118" t="s">
        <v>65</v>
      </c>
      <c r="C118" s="123">
        <f t="shared" si="7"/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12"/>
  </sheetPr>
  <dimension ref="A1:CM79"/>
  <sheetViews>
    <sheetView showGridLines="0" zoomScale="104" zoomScaleNormal="117" workbookViewId="0">
      <selection activeCell="D8" sqref="D8"/>
    </sheetView>
  </sheetViews>
  <sheetFormatPr defaultColWidth="10.81640625" defaultRowHeight="10.4" customHeight="1" x14ac:dyDescent="0.35"/>
  <cols>
    <col min="1" max="1" width="15.54296875" style="97" customWidth="1"/>
    <col min="2" max="2" width="18.1796875" style="97" customWidth="1"/>
    <col min="3" max="3" width="22.1796875" customWidth="1"/>
    <col min="4" max="4" width="15.54296875" style="97" customWidth="1"/>
    <col min="5" max="5" width="21.54296875" customWidth="1"/>
    <col min="6" max="6" width="15.54296875" style="97" customWidth="1"/>
    <col min="7" max="7" width="15.54296875" customWidth="1"/>
    <col min="8" max="21" width="15.81640625" style="97" customWidth="1"/>
    <col min="22" max="27" width="10.81640625" style="97"/>
    <col min="28" max="28" width="10.81640625" style="96"/>
  </cols>
  <sheetData>
    <row r="1" spans="1:91" ht="35.15" customHeight="1" x14ac:dyDescent="0.35">
      <c r="A1" s="97" t="s">
        <v>88</v>
      </c>
      <c r="B1"/>
      <c r="C1" s="251"/>
      <c r="D1" s="251"/>
      <c r="E1" s="251"/>
      <c r="F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 s="125"/>
      <c r="AC1" s="125"/>
      <c r="AD1" s="125"/>
      <c r="AE1" s="125"/>
      <c r="AF1" s="125"/>
      <c r="AG1" s="125"/>
      <c r="AH1" s="125"/>
      <c r="AJ1" s="126" t="s">
        <v>89</v>
      </c>
      <c r="AK1" s="125"/>
      <c r="AL1" s="125"/>
      <c r="AM1" s="125"/>
      <c r="AN1" s="125"/>
      <c r="AO1" s="125"/>
      <c r="AP1" s="125"/>
      <c r="AQ1" s="125"/>
      <c r="AR1" s="125"/>
      <c r="AS1" s="125"/>
      <c r="AT1" s="125"/>
      <c r="AU1" s="125"/>
      <c r="AV1" s="125"/>
      <c r="AW1" s="125"/>
      <c r="AX1" s="125"/>
      <c r="AY1" s="125"/>
      <c r="AZ1" s="125"/>
      <c r="BA1" s="125"/>
      <c r="BB1" s="125"/>
      <c r="BC1" s="125"/>
      <c r="BD1" s="125"/>
      <c r="BE1" s="125"/>
      <c r="BF1" s="125"/>
      <c r="BG1" s="125"/>
      <c r="BH1" s="125"/>
      <c r="BI1" s="125"/>
      <c r="BJ1" s="125"/>
      <c r="BK1" s="125"/>
      <c r="BL1" s="125"/>
      <c r="BM1" s="125"/>
      <c r="BN1" s="125"/>
      <c r="BO1" s="125"/>
      <c r="BP1" s="125"/>
      <c r="BQ1" s="125"/>
      <c r="BR1" s="125"/>
      <c r="BS1" s="125"/>
      <c r="BT1" s="125"/>
      <c r="BU1" s="125"/>
      <c r="BV1" s="125"/>
      <c r="BW1" s="125"/>
      <c r="BX1" s="125"/>
      <c r="BY1" s="125"/>
      <c r="BZ1" s="125"/>
      <c r="CA1" s="125"/>
      <c r="CB1" s="125"/>
      <c r="CC1" s="125"/>
      <c r="CD1" s="125"/>
      <c r="CE1" s="125"/>
      <c r="CF1" s="125"/>
      <c r="CG1" s="125"/>
      <c r="CH1" s="125"/>
      <c r="CI1" s="125"/>
      <c r="CJ1" s="125"/>
      <c r="CK1" s="125"/>
      <c r="CL1" s="125"/>
      <c r="CM1" s="125"/>
    </row>
    <row r="2" spans="1:91" ht="35.15" customHeight="1" x14ac:dyDescent="0.35">
      <c r="A2" s="244" t="s">
        <v>90</v>
      </c>
      <c r="B2" s="245" t="s">
        <v>91</v>
      </c>
      <c r="C2" s="245" t="s">
        <v>92</v>
      </c>
      <c r="D2" s="245" t="s">
        <v>93</v>
      </c>
      <c r="E2" s="245" t="s">
        <v>94</v>
      </c>
      <c r="F2" s="245" t="s">
        <v>95</v>
      </c>
      <c r="G2" s="246" t="s">
        <v>96</v>
      </c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 s="126"/>
      <c r="AI2">
        <v>1</v>
      </c>
      <c r="AJ2">
        <v>6084</v>
      </c>
    </row>
    <row r="3" spans="1:91" ht="35.15" customHeight="1" x14ac:dyDescent="0.35">
      <c r="A3" s="241" t="s">
        <v>4</v>
      </c>
      <c r="B3" s="240">
        <v>4338</v>
      </c>
      <c r="C3" s="240" t="s">
        <v>97</v>
      </c>
      <c r="D3" s="240">
        <v>39041</v>
      </c>
      <c r="E3" s="240">
        <v>43378</v>
      </c>
      <c r="F3" s="240">
        <v>0.02</v>
      </c>
      <c r="G3" s="242">
        <v>99.98</v>
      </c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 s="126"/>
      <c r="AI3">
        <v>2</v>
      </c>
      <c r="AJ3">
        <v>723</v>
      </c>
    </row>
    <row r="4" spans="1:91" ht="35.15" customHeight="1" x14ac:dyDescent="0.35">
      <c r="A4" s="241" t="s">
        <v>5</v>
      </c>
      <c r="B4" s="240">
        <v>8011</v>
      </c>
      <c r="C4" s="240" t="s">
        <v>98</v>
      </c>
      <c r="D4" s="240">
        <v>39041</v>
      </c>
      <c r="E4" s="240">
        <v>32043</v>
      </c>
      <c r="F4" s="240">
        <v>187.35</v>
      </c>
      <c r="G4" s="243">
        <v>-87.35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 s="124"/>
      <c r="AI4">
        <v>3</v>
      </c>
      <c r="AJ4">
        <v>4015</v>
      </c>
    </row>
    <row r="5" spans="1:91" ht="35.15" customHeight="1" x14ac:dyDescent="0.35">
      <c r="A5" s="241" t="s">
        <v>6</v>
      </c>
      <c r="B5" s="240">
        <v>7463</v>
      </c>
      <c r="C5" s="240" t="s">
        <v>99</v>
      </c>
      <c r="D5" s="240">
        <v>39041</v>
      </c>
      <c r="E5" s="240">
        <v>37313</v>
      </c>
      <c r="F5" s="240">
        <v>123.15</v>
      </c>
      <c r="G5" s="243">
        <v>-23.15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 s="124"/>
      <c r="AI5">
        <v>4</v>
      </c>
      <c r="AJ5">
        <v>2276</v>
      </c>
    </row>
    <row r="6" spans="1:91" ht="35.15" customHeight="1" x14ac:dyDescent="0.35">
      <c r="A6" s="241" t="s">
        <v>7</v>
      </c>
      <c r="B6" s="240">
        <v>4338</v>
      </c>
      <c r="C6" s="240" t="s">
        <v>97</v>
      </c>
      <c r="D6" s="240">
        <v>39041</v>
      </c>
      <c r="E6" s="240">
        <v>43378</v>
      </c>
      <c r="F6" s="240">
        <v>0.02</v>
      </c>
      <c r="G6" s="242">
        <v>99.98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 s="124"/>
      <c r="AI6">
        <v>5</v>
      </c>
      <c r="AJ6">
        <v>9632</v>
      </c>
    </row>
    <row r="7" spans="1:91" ht="35.15" customHeight="1" x14ac:dyDescent="0.35">
      <c r="A7" s="241" t="s">
        <v>8</v>
      </c>
      <c r="B7" s="240">
        <v>6008</v>
      </c>
      <c r="C7" s="240" t="s">
        <v>98</v>
      </c>
      <c r="D7" s="240">
        <v>39041</v>
      </c>
      <c r="E7" s="240">
        <v>30040</v>
      </c>
      <c r="F7" s="240">
        <v>249.82</v>
      </c>
      <c r="G7" s="243">
        <v>-149.82</v>
      </c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I7">
        <v>6</v>
      </c>
      <c r="AJ7">
        <v>-22730</v>
      </c>
    </row>
    <row r="8" spans="1:91" ht="35.15" customHeight="1" x14ac:dyDescent="0.35">
      <c r="A8" s="241" t="s">
        <v>9</v>
      </c>
      <c r="B8" s="240">
        <v>2968</v>
      </c>
      <c r="C8" s="240" t="s">
        <v>98</v>
      </c>
      <c r="D8" s="240">
        <v>39041</v>
      </c>
      <c r="E8" s="240">
        <v>27000</v>
      </c>
      <c r="F8" s="240">
        <v>505.69</v>
      </c>
      <c r="G8" s="243">
        <v>-405.69</v>
      </c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91" ht="35.15" customHeight="1" x14ac:dyDescent="0.35">
      <c r="A9" s="241" t="s">
        <v>10</v>
      </c>
      <c r="B9" s="240">
        <v>5577</v>
      </c>
      <c r="C9" s="240" t="s">
        <v>97</v>
      </c>
      <c r="D9" s="240">
        <v>39041</v>
      </c>
      <c r="E9" s="240">
        <v>44617</v>
      </c>
      <c r="F9" s="240">
        <v>0.02</v>
      </c>
      <c r="G9" s="242">
        <v>99.98</v>
      </c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91" ht="35.15" customHeight="1" x14ac:dyDescent="0.35">
      <c r="A10" s="241" t="s">
        <v>11</v>
      </c>
      <c r="B10" s="240">
        <v>5970</v>
      </c>
      <c r="C10" s="240" t="s">
        <v>99</v>
      </c>
      <c r="D10" s="240">
        <v>39041</v>
      </c>
      <c r="E10" s="240">
        <v>35820</v>
      </c>
      <c r="F10" s="240">
        <v>153.94999999999999</v>
      </c>
      <c r="G10" s="243">
        <v>-53.95</v>
      </c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91" ht="35.15" customHeight="1" x14ac:dyDescent="0.35">
      <c r="A11" s="241" t="s">
        <v>12</v>
      </c>
      <c r="B11" s="240">
        <v>3904</v>
      </c>
      <c r="C11" s="240" t="s">
        <v>97</v>
      </c>
      <c r="D11" s="240">
        <v>39041</v>
      </c>
      <c r="E11" s="240">
        <v>42944</v>
      </c>
      <c r="F11" s="240">
        <v>0.03</v>
      </c>
      <c r="G11" s="242">
        <v>99.97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91" ht="35.15" customHeight="1" x14ac:dyDescent="0.35">
      <c r="A12" s="241" t="s">
        <v>13</v>
      </c>
      <c r="B12" s="240"/>
      <c r="C12" s="240" t="s">
        <v>100</v>
      </c>
      <c r="D12" s="240">
        <v>39041</v>
      </c>
      <c r="E12" s="240" t="s">
        <v>100</v>
      </c>
      <c r="F12" s="240"/>
      <c r="G12" s="242">
        <v>100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91" ht="35.15" customHeight="1" x14ac:dyDescent="0.35">
      <c r="A13" s="241" t="s">
        <v>14</v>
      </c>
      <c r="B13" s="240">
        <v>2841</v>
      </c>
      <c r="C13" s="240" t="s">
        <v>97</v>
      </c>
      <c r="D13" s="240">
        <v>39041</v>
      </c>
      <c r="E13" s="240">
        <v>41881</v>
      </c>
      <c r="F13" s="240">
        <v>0.04</v>
      </c>
      <c r="G13" s="242">
        <v>99.96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91" ht="35.15" customHeight="1" x14ac:dyDescent="0.35">
      <c r="A14" s="241" t="s">
        <v>15</v>
      </c>
      <c r="B14" s="240">
        <v>4768</v>
      </c>
      <c r="C14" s="240" t="s">
        <v>101</v>
      </c>
      <c r="D14" s="240">
        <v>39041</v>
      </c>
      <c r="E14" s="240">
        <v>28607</v>
      </c>
      <c r="F14" s="240">
        <v>318.83</v>
      </c>
      <c r="G14" s="243">
        <v>-218.83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91" ht="35.15" customHeight="1" x14ac:dyDescent="0.35">
      <c r="A15" s="241" t="s">
        <v>16</v>
      </c>
      <c r="B15" s="240">
        <v>4768</v>
      </c>
      <c r="C15" s="240" t="s">
        <v>101</v>
      </c>
      <c r="D15" s="240">
        <v>39041</v>
      </c>
      <c r="E15" s="240">
        <v>28607</v>
      </c>
      <c r="F15" s="240">
        <v>318.83</v>
      </c>
      <c r="G15" s="243">
        <v>-218.83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91" ht="35.15" customHeight="1" x14ac:dyDescent="0.35">
      <c r="A16" s="247" t="s">
        <v>17</v>
      </c>
      <c r="B16" s="248"/>
      <c r="C16" s="248" t="s">
        <v>102</v>
      </c>
      <c r="D16" s="248">
        <v>39041</v>
      </c>
      <c r="E16" s="248" t="s">
        <v>102</v>
      </c>
      <c r="F16" s="248"/>
      <c r="G16" s="249">
        <v>100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2:28" ht="35.15" customHeight="1" x14ac:dyDescent="0.35">
      <c r="B17"/>
      <c r="D17"/>
      <c r="F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2:28" ht="35.15" customHeight="1" x14ac:dyDescent="0.35">
      <c r="B18"/>
      <c r="D18"/>
      <c r="F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2:28" ht="35.15" customHeight="1" x14ac:dyDescent="0.35">
      <c r="B19"/>
      <c r="D19"/>
      <c r="F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2:28" ht="35.15" customHeight="1" x14ac:dyDescent="0.35">
      <c r="B20"/>
      <c r="D20"/>
      <c r="F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2:28" ht="35.15" customHeight="1" x14ac:dyDescent="0.35">
      <c r="B21"/>
      <c r="D21"/>
      <c r="F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2:28" ht="35.15" customHeight="1" x14ac:dyDescent="0.35">
      <c r="B22"/>
      <c r="D22"/>
      <c r="F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2:28" ht="35.15" customHeight="1" x14ac:dyDescent="0.35">
      <c r="B23"/>
      <c r="D23"/>
      <c r="F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2:28" ht="35.15" customHeight="1" x14ac:dyDescent="0.35">
      <c r="B24"/>
      <c r="D24"/>
      <c r="F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2:28" ht="35.15" customHeight="1" x14ac:dyDescent="0.35">
      <c r="B25"/>
      <c r="D25"/>
      <c r="F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2:28" ht="35.15" customHeight="1" x14ac:dyDescent="0.35">
      <c r="B26"/>
      <c r="D26"/>
      <c r="F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</row>
    <row r="27" spans="2:28" ht="35.15" customHeight="1" x14ac:dyDescent="0.35">
      <c r="B27"/>
      <c r="D27"/>
      <c r="F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</row>
    <row r="28" spans="2:28" ht="35.15" customHeight="1" x14ac:dyDescent="0.35">
      <c r="B28"/>
      <c r="D28"/>
      <c r="F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</row>
    <row r="29" spans="2:28" ht="35.15" customHeight="1" x14ac:dyDescent="0.35">
      <c r="B29"/>
      <c r="D29"/>
      <c r="F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</row>
    <row r="30" spans="2:28" ht="35.15" customHeight="1" x14ac:dyDescent="0.35">
      <c r="B30"/>
      <c r="D30"/>
      <c r="F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</row>
    <row r="31" spans="2:28" ht="35.15" customHeight="1" x14ac:dyDescent="0.35">
      <c r="B31"/>
      <c r="D31"/>
      <c r="F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</row>
    <row r="32" spans="2:28" ht="35.15" customHeight="1" x14ac:dyDescent="0.35">
      <c r="B32"/>
      <c r="D32"/>
      <c r="F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</row>
    <row r="33" spans="2:28" ht="35.15" customHeight="1" x14ac:dyDescent="0.35">
      <c r="B33"/>
      <c r="D33"/>
      <c r="F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</row>
    <row r="34" spans="2:28" ht="35.15" customHeight="1" x14ac:dyDescent="0.35">
      <c r="B34"/>
      <c r="D34"/>
      <c r="F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</row>
    <row r="35" spans="2:28" ht="35.15" customHeight="1" x14ac:dyDescent="0.35">
      <c r="B35"/>
      <c r="D35"/>
      <c r="F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</row>
    <row r="36" spans="2:28" ht="35.15" customHeight="1" x14ac:dyDescent="0.35">
      <c r="B36"/>
      <c r="D36"/>
      <c r="F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</row>
    <row r="37" spans="2:28" ht="35.15" customHeight="1" x14ac:dyDescent="0.35">
      <c r="B37"/>
      <c r="D37"/>
      <c r="F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</row>
    <row r="38" spans="2:28" ht="35.15" customHeight="1" x14ac:dyDescent="0.35">
      <c r="B38"/>
      <c r="D38"/>
      <c r="F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</row>
    <row r="39" spans="2:28" ht="35.15" customHeight="1" x14ac:dyDescent="0.35">
      <c r="B39"/>
      <c r="D39"/>
      <c r="F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</row>
    <row r="40" spans="2:28" ht="35.15" customHeight="1" x14ac:dyDescent="0.35">
      <c r="B40"/>
      <c r="D40"/>
      <c r="F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</row>
    <row r="41" spans="2:28" ht="35.15" customHeight="1" x14ac:dyDescent="0.35">
      <c r="B41"/>
      <c r="D41"/>
      <c r="F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</row>
    <row r="42" spans="2:28" ht="35.15" customHeight="1" x14ac:dyDescent="0.35">
      <c r="B42"/>
      <c r="D42"/>
      <c r="F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</row>
    <row r="43" spans="2:28" ht="35.15" customHeight="1" x14ac:dyDescent="0.35">
      <c r="B43"/>
      <c r="D43"/>
      <c r="F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</row>
    <row r="44" spans="2:28" ht="35.15" customHeight="1" x14ac:dyDescent="0.35">
      <c r="B44"/>
      <c r="D44"/>
      <c r="F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</row>
    <row r="45" spans="2:28" ht="35.15" customHeight="1" x14ac:dyDescent="0.35">
      <c r="B45"/>
      <c r="D45"/>
      <c r="F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</row>
    <row r="46" spans="2:28" ht="35.15" customHeight="1" x14ac:dyDescent="0.35">
      <c r="B46"/>
      <c r="D46"/>
      <c r="F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</row>
    <row r="47" spans="2:28" ht="35.15" customHeight="1" x14ac:dyDescent="0.35">
      <c r="B47"/>
      <c r="D47"/>
      <c r="F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</row>
    <row r="48" spans="2:28" ht="35.15" customHeight="1" x14ac:dyDescent="0.35">
      <c r="B48"/>
      <c r="D48"/>
      <c r="F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</row>
    <row r="49" spans="2:28" ht="35.15" customHeight="1" x14ac:dyDescent="0.35">
      <c r="B49"/>
      <c r="D49"/>
      <c r="F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</row>
    <row r="50" spans="2:28" ht="35.15" customHeight="1" x14ac:dyDescent="0.35">
      <c r="B50"/>
      <c r="D50"/>
      <c r="F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</row>
    <row r="51" spans="2:28" ht="35.15" customHeight="1" x14ac:dyDescent="0.35">
      <c r="B51"/>
      <c r="D51"/>
      <c r="F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</row>
    <row r="52" spans="2:28" ht="35.15" customHeight="1" x14ac:dyDescent="0.35">
      <c r="B52"/>
      <c r="D52"/>
      <c r="F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</row>
    <row r="53" spans="2:28" ht="35.15" customHeight="1" x14ac:dyDescent="0.35">
      <c r="B53"/>
      <c r="D53"/>
      <c r="F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</row>
    <row r="54" spans="2:28" ht="35.15" customHeight="1" x14ac:dyDescent="0.35">
      <c r="D54"/>
      <c r="F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</row>
    <row r="55" spans="2:28" ht="35.15" customHeight="1" x14ac:dyDescent="0.35">
      <c r="F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</row>
    <row r="56" spans="2:28" ht="35.15" customHeight="1" x14ac:dyDescent="0.35"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</row>
    <row r="57" spans="2:28" ht="35.15" customHeight="1" x14ac:dyDescent="0.35"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</row>
    <row r="58" spans="2:28" ht="35.15" customHeight="1" x14ac:dyDescent="0.35"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</row>
    <row r="59" spans="2:28" ht="35.15" customHeight="1" x14ac:dyDescent="0.35"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</row>
    <row r="60" spans="2:28" ht="35.15" customHeight="1" x14ac:dyDescent="0.35"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</row>
    <row r="61" spans="2:28" ht="10.4" customHeight="1" x14ac:dyDescent="0.35"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</row>
    <row r="62" spans="2:28" ht="10.4" customHeight="1" x14ac:dyDescent="0.35"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</row>
    <row r="63" spans="2:28" ht="10.4" customHeight="1" x14ac:dyDescent="0.35"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</row>
    <row r="64" spans="2:28" ht="10.4" customHeight="1" x14ac:dyDescent="0.35"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</row>
    <row r="65" spans="13:28" ht="10.4" customHeight="1" x14ac:dyDescent="0.35"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</row>
    <row r="66" spans="13:28" ht="10.4" customHeight="1" x14ac:dyDescent="0.35"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</row>
    <row r="67" spans="13:28" ht="10.4" customHeight="1" x14ac:dyDescent="0.35">
      <c r="O67"/>
      <c r="P67"/>
      <c r="Q67"/>
      <c r="R67"/>
      <c r="S67"/>
      <c r="T67"/>
      <c r="U67"/>
      <c r="V67"/>
      <c r="W67"/>
      <c r="X67"/>
      <c r="Y67"/>
      <c r="Z67"/>
      <c r="AA67"/>
      <c r="AB67"/>
    </row>
    <row r="68" spans="13:28" ht="10.4" customHeight="1" x14ac:dyDescent="0.35">
      <c r="P68"/>
      <c r="Q68"/>
      <c r="R68"/>
      <c r="S68"/>
      <c r="T68"/>
      <c r="U68"/>
      <c r="V68"/>
      <c r="W68"/>
      <c r="X68"/>
      <c r="Y68"/>
      <c r="Z68"/>
      <c r="AA68"/>
      <c r="AB68"/>
    </row>
    <row r="69" spans="13:28" ht="10.4" customHeight="1" x14ac:dyDescent="0.35">
      <c r="Q69"/>
      <c r="R69"/>
      <c r="S69"/>
      <c r="T69"/>
      <c r="U69"/>
      <c r="V69"/>
      <c r="W69"/>
      <c r="X69"/>
      <c r="Y69"/>
      <c r="Z69"/>
      <c r="AA69"/>
      <c r="AB69"/>
    </row>
    <row r="70" spans="13:28" ht="10.4" customHeight="1" x14ac:dyDescent="0.35">
      <c r="S70"/>
      <c r="T70"/>
      <c r="U70"/>
      <c r="V70"/>
      <c r="W70"/>
      <c r="X70"/>
      <c r="Y70"/>
      <c r="Z70"/>
      <c r="AA70"/>
      <c r="AB70"/>
    </row>
    <row r="71" spans="13:28" ht="10.4" customHeight="1" x14ac:dyDescent="0.35">
      <c r="T71"/>
      <c r="U71"/>
      <c r="V71"/>
      <c r="W71"/>
      <c r="X71"/>
      <c r="Y71"/>
      <c r="Z71"/>
      <c r="AA71"/>
      <c r="AB71"/>
    </row>
    <row r="72" spans="13:28" ht="10.4" customHeight="1" x14ac:dyDescent="0.35">
      <c r="U72"/>
      <c r="V72"/>
      <c r="W72"/>
      <c r="X72"/>
      <c r="Y72"/>
      <c r="Z72"/>
      <c r="AA72"/>
      <c r="AB72"/>
    </row>
    <row r="73" spans="13:28" ht="10.4" customHeight="1" x14ac:dyDescent="0.35">
      <c r="V73"/>
      <c r="W73"/>
      <c r="X73"/>
      <c r="Y73"/>
      <c r="Z73"/>
      <c r="AA73"/>
      <c r="AB73"/>
    </row>
    <row r="74" spans="13:28" ht="10.4" customHeight="1" x14ac:dyDescent="0.35">
      <c r="W74"/>
      <c r="X74"/>
      <c r="Y74"/>
      <c r="Z74"/>
      <c r="AA74"/>
      <c r="AB74"/>
    </row>
    <row r="75" spans="13:28" ht="10.4" customHeight="1" x14ac:dyDescent="0.35">
      <c r="X75"/>
      <c r="Y75"/>
      <c r="Z75"/>
      <c r="AA75"/>
      <c r="AB75"/>
    </row>
    <row r="76" spans="13:28" ht="10.4" customHeight="1" x14ac:dyDescent="0.35">
      <c r="Y76"/>
      <c r="Z76"/>
      <c r="AA76"/>
      <c r="AB76"/>
    </row>
    <row r="77" spans="13:28" ht="10.4" customHeight="1" x14ac:dyDescent="0.35">
      <c r="Z77"/>
      <c r="AA77"/>
      <c r="AB77"/>
    </row>
    <row r="78" spans="13:28" ht="10.4" customHeight="1" x14ac:dyDescent="0.35">
      <c r="AA78"/>
      <c r="AB78"/>
    </row>
    <row r="79" spans="13:28" ht="10.4" customHeight="1" x14ac:dyDescent="0.35">
      <c r="AB79"/>
    </row>
  </sheetData>
  <mergeCells count="1">
    <mergeCell ref="C1:E1"/>
  </mergeCells>
  <pageMargins left="0.7" right="0.7" top="0.75" bottom="0.75" header="0.3" footer="0.3"/>
  <pageSetup paperSize="9" scale="63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A1:W64"/>
  <sheetViews>
    <sheetView zoomScale="76" workbookViewId="0">
      <selection activeCell="C11" sqref="C11"/>
    </sheetView>
  </sheetViews>
  <sheetFormatPr defaultColWidth="8.81640625" defaultRowHeight="14.5" x14ac:dyDescent="0.35"/>
  <cols>
    <col min="1" max="1" width="16.54296875" customWidth="1"/>
    <col min="2" max="2" width="9.453125" customWidth="1"/>
    <col min="3" max="5" width="21.54296875" bestFit="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2" width="17.1796875" bestFit="1" customWidth="1"/>
    <col min="13" max="13" width="18.1796875" bestFit="1" customWidth="1"/>
    <col min="14" max="15" width="17.1796875" bestFit="1" customWidth="1"/>
    <col min="16" max="16" width="19.81640625" customWidth="1"/>
    <col min="17" max="22" width="17.1796875" bestFit="1" customWidth="1"/>
    <col min="23" max="23" width="15.1796875" bestFit="1" customWidth="1"/>
  </cols>
  <sheetData>
    <row r="1" spans="1:23" ht="24" thickBot="1" x14ac:dyDescent="0.4">
      <c r="A1" s="186"/>
    </row>
    <row r="2" spans="1:23" x14ac:dyDescent="0.35">
      <c r="E2" s="130" t="s">
        <v>103</v>
      </c>
      <c r="F2" s="131"/>
      <c r="G2" s="131" t="s">
        <v>104</v>
      </c>
      <c r="H2" s="131" t="s">
        <v>105</v>
      </c>
      <c r="I2" s="132"/>
    </row>
    <row r="3" spans="1:23" x14ac:dyDescent="0.35">
      <c r="E3" s="133"/>
      <c r="F3" s="134" t="s">
        <v>106</v>
      </c>
      <c r="G3" s="135" t="s">
        <v>107</v>
      </c>
      <c r="H3" s="134"/>
      <c r="I3" s="136"/>
    </row>
    <row r="4" spans="1:23" ht="15" thickBot="1" x14ac:dyDescent="0.4">
      <c r="A4" s="239" t="s">
        <v>108</v>
      </c>
      <c r="B4" s="254" t="s">
        <v>109</v>
      </c>
      <c r="C4" s="254"/>
      <c r="E4" s="137"/>
      <c r="F4" s="138" t="s">
        <v>110</v>
      </c>
      <c r="G4" s="139" t="s">
        <v>111</v>
      </c>
      <c r="H4" s="138" t="s">
        <v>112</v>
      </c>
      <c r="I4" s="140"/>
    </row>
    <row r="5" spans="1:23" x14ac:dyDescent="0.35">
      <c r="A5" s="187" t="s">
        <v>113</v>
      </c>
      <c r="B5" s="255" t="s">
        <v>114</v>
      </c>
      <c r="C5" s="255"/>
    </row>
    <row r="6" spans="1:23" ht="28.4" customHeight="1" x14ac:dyDescent="0.35">
      <c r="A6" s="142" t="s">
        <v>115</v>
      </c>
      <c r="B6" s="169"/>
      <c r="C6" s="142" t="s">
        <v>116</v>
      </c>
      <c r="D6" s="142" t="s">
        <v>117</v>
      </c>
      <c r="E6" s="142" t="s">
        <v>118</v>
      </c>
      <c r="F6" s="224" t="s">
        <v>119</v>
      </c>
      <c r="G6" s="142" t="s">
        <v>120</v>
      </c>
      <c r="H6" s="142" t="s">
        <v>121</v>
      </c>
      <c r="I6" s="142" t="s">
        <v>122</v>
      </c>
      <c r="J6" s="142" t="s">
        <v>123</v>
      </c>
      <c r="K6" s="142" t="s">
        <v>124</v>
      </c>
      <c r="L6" s="142" t="s">
        <v>125</v>
      </c>
      <c r="M6" s="142" t="s">
        <v>126</v>
      </c>
      <c r="N6" s="224" t="s">
        <v>127</v>
      </c>
      <c r="O6" s="142" t="s">
        <v>128</v>
      </c>
      <c r="P6" s="144" t="s">
        <v>129</v>
      </c>
      <c r="Q6" s="142" t="s">
        <v>130</v>
      </c>
      <c r="R6" s="142" t="s">
        <v>131</v>
      </c>
      <c r="S6" s="224" t="s">
        <v>132</v>
      </c>
      <c r="T6" s="224" t="s">
        <v>133</v>
      </c>
      <c r="U6" s="224" t="s">
        <v>134</v>
      </c>
      <c r="V6" s="142" t="s">
        <v>135</v>
      </c>
      <c r="W6" s="224" t="s">
        <v>136</v>
      </c>
    </row>
    <row r="7" spans="1:23" x14ac:dyDescent="0.35">
      <c r="A7" s="252" t="s">
        <v>137</v>
      </c>
      <c r="B7" s="252"/>
      <c r="C7" s="146" t="s">
        <v>138</v>
      </c>
      <c r="D7" s="145" t="s">
        <v>139</v>
      </c>
      <c r="E7" s="146">
        <v>1</v>
      </c>
      <c r="F7" s="145" t="s">
        <v>140</v>
      </c>
      <c r="G7" s="145" t="s">
        <v>141</v>
      </c>
      <c r="H7" s="145" t="s">
        <v>142</v>
      </c>
      <c r="I7" s="145" t="s">
        <v>143</v>
      </c>
      <c r="J7" s="145" t="s">
        <v>144</v>
      </c>
      <c r="K7" s="145" t="s">
        <v>145</v>
      </c>
      <c r="L7" s="145" t="s">
        <v>146</v>
      </c>
      <c r="M7" s="145" t="s">
        <v>147</v>
      </c>
      <c r="N7" s="145" t="s">
        <v>148</v>
      </c>
      <c r="O7" s="145" t="s">
        <v>149</v>
      </c>
      <c r="P7" s="145" t="s">
        <v>150</v>
      </c>
      <c r="Q7" s="145" t="s">
        <v>151</v>
      </c>
      <c r="R7" s="145" t="s">
        <v>152</v>
      </c>
      <c r="S7" s="145" t="s">
        <v>153</v>
      </c>
      <c r="T7" s="145" t="s">
        <v>154</v>
      </c>
      <c r="U7" s="145" t="s">
        <v>155</v>
      </c>
      <c r="V7" s="145" t="s">
        <v>156</v>
      </c>
      <c r="W7" s="145" t="s">
        <v>157</v>
      </c>
    </row>
    <row r="8" spans="1:23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1</v>
      </c>
      <c r="K8" s="147">
        <v>2</v>
      </c>
      <c r="L8" s="147">
        <v>1</v>
      </c>
      <c r="M8" s="147">
        <v>2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1</v>
      </c>
      <c r="U8" s="147">
        <v>4</v>
      </c>
      <c r="V8" s="147">
        <v>1</v>
      </c>
      <c r="W8" s="147">
        <v>1</v>
      </c>
    </row>
    <row r="9" spans="1:23" x14ac:dyDescent="0.35">
      <c r="A9" s="150" t="s">
        <v>159</v>
      </c>
      <c r="B9" s="151"/>
      <c r="C9" s="152"/>
      <c r="D9" s="152"/>
      <c r="E9" s="152"/>
      <c r="F9" s="152"/>
      <c r="G9" s="152"/>
      <c r="H9" s="152"/>
      <c r="I9" s="152"/>
      <c r="J9" s="152"/>
      <c r="K9" s="153" t="s">
        <v>160</v>
      </c>
      <c r="L9" s="153" t="s">
        <v>160</v>
      </c>
      <c r="M9" s="153" t="s">
        <v>160</v>
      </c>
      <c r="N9" s="152"/>
      <c r="O9" s="153" t="s">
        <v>160</v>
      </c>
      <c r="P9" s="153" t="s">
        <v>160</v>
      </c>
      <c r="Q9" s="153" t="s">
        <v>160</v>
      </c>
      <c r="R9" s="152"/>
      <c r="S9" s="152"/>
      <c r="T9" s="153" t="s">
        <v>160</v>
      </c>
      <c r="U9" s="152"/>
      <c r="V9" s="152"/>
      <c r="W9" s="152"/>
    </row>
    <row r="10" spans="1:23" x14ac:dyDescent="0.35">
      <c r="A10" s="155" t="s">
        <v>161</v>
      </c>
      <c r="B10" s="156" t="s">
        <v>162</v>
      </c>
      <c r="C10" s="157"/>
      <c r="D10" s="157"/>
      <c r="E10" s="157"/>
      <c r="F10" s="157"/>
      <c r="G10" s="157"/>
      <c r="H10" s="157"/>
      <c r="I10" s="157"/>
      <c r="J10" s="157"/>
      <c r="K10" s="158">
        <v>0</v>
      </c>
      <c r="L10" s="158">
        <v>0</v>
      </c>
      <c r="M10" s="158">
        <v>0</v>
      </c>
      <c r="N10" s="157"/>
      <c r="O10" s="158">
        <v>0</v>
      </c>
      <c r="P10" s="158">
        <v>0</v>
      </c>
      <c r="Q10" s="158">
        <v>0</v>
      </c>
      <c r="R10" s="157"/>
      <c r="S10" s="157"/>
      <c r="T10" s="158">
        <v>0</v>
      </c>
      <c r="U10" s="157"/>
      <c r="V10" s="157"/>
      <c r="W10" s="157"/>
    </row>
    <row r="11" spans="1:23" x14ac:dyDescent="0.35">
      <c r="A11" s="155" t="s">
        <v>161</v>
      </c>
      <c r="B11" s="156" t="s">
        <v>163</v>
      </c>
      <c r="C11" s="157"/>
      <c r="D11" s="157"/>
      <c r="E11" s="157"/>
      <c r="F11" s="157"/>
      <c r="G11" s="157"/>
      <c r="H11" s="157"/>
      <c r="I11" s="157"/>
      <c r="J11" s="157"/>
      <c r="K11" s="158">
        <v>0</v>
      </c>
      <c r="L11" s="158">
        <v>0</v>
      </c>
      <c r="M11" s="158">
        <v>0</v>
      </c>
      <c r="N11" s="157"/>
      <c r="O11" s="158">
        <v>0</v>
      </c>
      <c r="P11" s="158">
        <v>0</v>
      </c>
      <c r="Q11" s="158">
        <v>0</v>
      </c>
      <c r="R11" s="157"/>
      <c r="S11" s="157"/>
      <c r="T11" s="158">
        <v>0</v>
      </c>
      <c r="U11" s="157"/>
      <c r="V11" s="157"/>
      <c r="W11" s="157"/>
    </row>
    <row r="12" spans="1:23" x14ac:dyDescent="0.35">
      <c r="A12" s="155" t="s">
        <v>164</v>
      </c>
      <c r="B12" s="156"/>
      <c r="C12" s="157"/>
      <c r="D12" s="157"/>
      <c r="E12" s="157"/>
      <c r="F12" s="157"/>
      <c r="G12" s="157"/>
      <c r="H12" s="157"/>
      <c r="I12" s="157"/>
      <c r="J12" s="166"/>
      <c r="K12" s="159">
        <v>43132</v>
      </c>
      <c r="L12" s="159">
        <v>43132</v>
      </c>
      <c r="M12" s="159">
        <v>43040</v>
      </c>
      <c r="N12" s="159"/>
      <c r="O12" s="159">
        <v>43040</v>
      </c>
      <c r="P12" s="159">
        <v>43040</v>
      </c>
      <c r="Q12" s="159">
        <v>43040</v>
      </c>
      <c r="R12" s="159"/>
      <c r="S12" s="159"/>
      <c r="T12" s="159">
        <v>43040</v>
      </c>
      <c r="U12" s="157"/>
      <c r="V12" s="157"/>
      <c r="W12" s="157"/>
    </row>
    <row r="13" spans="1:23" ht="29" x14ac:dyDescent="0.35">
      <c r="A13" s="160" t="s">
        <v>165</v>
      </c>
      <c r="B13" s="161"/>
      <c r="C13" s="157"/>
      <c r="D13" s="157"/>
      <c r="E13" s="157"/>
      <c r="F13" s="157"/>
      <c r="G13" s="157"/>
      <c r="H13" s="157"/>
      <c r="I13" s="157"/>
      <c r="J13" s="157"/>
      <c r="K13" s="162" t="s">
        <v>166</v>
      </c>
      <c r="L13" s="162" t="s">
        <v>166</v>
      </c>
      <c r="M13" s="162" t="s">
        <v>166</v>
      </c>
      <c r="N13" s="157"/>
      <c r="O13" s="162" t="s">
        <v>166</v>
      </c>
      <c r="P13" s="162" t="s">
        <v>166</v>
      </c>
      <c r="Q13" s="162" t="s">
        <v>166</v>
      </c>
      <c r="R13" s="157"/>
      <c r="S13" s="157"/>
      <c r="T13" s="162" t="s">
        <v>166</v>
      </c>
      <c r="U13" s="157"/>
      <c r="V13" s="157"/>
      <c r="W13" s="157"/>
    </row>
    <row r="14" spans="1:23" x14ac:dyDescent="0.35">
      <c r="A14" s="225" t="s">
        <v>167</v>
      </c>
      <c r="B14" s="225"/>
      <c r="C14" s="225">
        <f>IFERROR(C11-C10,"")</f>
        <v>0</v>
      </c>
      <c r="D14" s="225">
        <f t="shared" ref="D14:V14" si="0">IFERROR(D11-D10,"")</f>
        <v>0</v>
      </c>
      <c r="E14" s="225">
        <f t="shared" si="0"/>
        <v>0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0</v>
      </c>
      <c r="J14" s="225">
        <f t="shared" si="0"/>
        <v>0</v>
      </c>
      <c r="K14" s="225">
        <f t="shared" si="0"/>
        <v>0</v>
      </c>
      <c r="L14" s="225">
        <f t="shared" si="0"/>
        <v>0</v>
      </c>
      <c r="M14" s="225">
        <f t="shared" si="0"/>
        <v>0</v>
      </c>
      <c r="N14" s="225">
        <f t="shared" si="0"/>
        <v>0</v>
      </c>
      <c r="O14" s="225">
        <f t="shared" si="0"/>
        <v>0</v>
      </c>
      <c r="P14" s="225">
        <f t="shared" si="0"/>
        <v>0</v>
      </c>
      <c r="Q14" s="225">
        <f t="shared" si="0"/>
        <v>0</v>
      </c>
      <c r="R14" s="225">
        <f t="shared" si="0"/>
        <v>0</v>
      </c>
      <c r="S14" s="225">
        <f t="shared" si="0"/>
        <v>0</v>
      </c>
      <c r="T14" s="225">
        <f t="shared" si="0"/>
        <v>0</v>
      </c>
      <c r="U14" s="225">
        <f t="shared" si="0"/>
        <v>0</v>
      </c>
      <c r="V14" s="225">
        <f t="shared" si="0"/>
        <v>0</v>
      </c>
    </row>
    <row r="15" spans="1:23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</row>
    <row r="16" spans="1:23" x14ac:dyDescent="0.35">
      <c r="A16" s="150" t="s">
        <v>159</v>
      </c>
      <c r="B16" s="151"/>
      <c r="C16" s="163"/>
      <c r="D16" s="154"/>
      <c r="E16" s="154"/>
      <c r="F16" s="154"/>
      <c r="G16" s="154"/>
      <c r="H16" s="154"/>
      <c r="I16" s="154"/>
      <c r="J16" s="152"/>
      <c r="K16" s="154"/>
      <c r="L16" s="154"/>
      <c r="M16" s="154"/>
      <c r="N16" s="152"/>
      <c r="O16" s="152"/>
      <c r="P16" s="159">
        <v>43040</v>
      </c>
      <c r="Q16" s="154"/>
      <c r="R16" s="154"/>
      <c r="S16" s="154"/>
      <c r="T16" s="154"/>
      <c r="U16" s="154"/>
      <c r="V16" s="154"/>
      <c r="W16" s="154"/>
    </row>
    <row r="17" spans="1:23" x14ac:dyDescent="0.35">
      <c r="A17" s="155" t="s">
        <v>161</v>
      </c>
      <c r="B17" s="156" t="s">
        <v>162</v>
      </c>
      <c r="C17" s="165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8">
        <v>0</v>
      </c>
      <c r="Q17" s="157"/>
      <c r="R17" s="157"/>
      <c r="S17" s="157"/>
      <c r="T17" s="157"/>
      <c r="U17" s="157"/>
      <c r="V17" s="157"/>
      <c r="W17" s="157"/>
    </row>
    <row r="18" spans="1:23" x14ac:dyDescent="0.35">
      <c r="A18" s="155" t="s">
        <v>161</v>
      </c>
      <c r="B18" s="156" t="s">
        <v>163</v>
      </c>
      <c r="C18" s="165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8">
        <v>0</v>
      </c>
      <c r="Q18" s="157"/>
      <c r="R18" s="157"/>
      <c r="S18" s="157"/>
      <c r="T18" s="157"/>
      <c r="U18" s="157"/>
      <c r="V18" s="157"/>
      <c r="W18" s="157"/>
    </row>
    <row r="19" spans="1:23" x14ac:dyDescent="0.35">
      <c r="A19" s="155" t="s">
        <v>164</v>
      </c>
      <c r="B19" s="156"/>
      <c r="C19" s="165"/>
      <c r="D19" s="157"/>
      <c r="E19" s="157"/>
      <c r="F19" s="157"/>
      <c r="G19" s="157"/>
      <c r="H19" s="157"/>
      <c r="I19" s="157"/>
      <c r="J19" s="166"/>
      <c r="K19" s="157"/>
      <c r="L19" s="157"/>
      <c r="M19" s="157"/>
      <c r="N19" s="157"/>
      <c r="O19" s="157"/>
      <c r="P19" s="159">
        <v>43132</v>
      </c>
      <c r="Q19" s="157"/>
      <c r="R19" s="157"/>
      <c r="S19" s="157"/>
      <c r="T19" s="157"/>
      <c r="U19" s="157"/>
      <c r="V19" s="157"/>
      <c r="W19" s="157"/>
    </row>
    <row r="20" spans="1:23" x14ac:dyDescent="0.35">
      <c r="A20" s="160" t="s">
        <v>165</v>
      </c>
      <c r="B20" s="167"/>
      <c r="C20" s="165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62" t="s">
        <v>166</v>
      </c>
      <c r="Q20" s="157"/>
      <c r="R20" s="157"/>
      <c r="S20" s="157"/>
      <c r="T20" s="157"/>
      <c r="U20" s="157"/>
      <c r="V20" s="157"/>
      <c r="W20" s="157"/>
    </row>
    <row r="21" spans="1:23" x14ac:dyDescent="0.35">
      <c r="A21" s="225" t="s">
        <v>167</v>
      </c>
      <c r="B21" s="225"/>
      <c r="C21" s="225">
        <f>IFERROR(C18-C17,"")</f>
        <v>0</v>
      </c>
      <c r="D21" s="225">
        <f t="shared" ref="D21:V21" si="1">IFERROR(D18-D17,"")</f>
        <v>0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0</v>
      </c>
      <c r="J21" s="225">
        <f t="shared" si="1"/>
        <v>0</v>
      </c>
      <c r="K21" s="225">
        <f t="shared" si="1"/>
        <v>0</v>
      </c>
      <c r="L21" s="225">
        <f t="shared" si="1"/>
        <v>0</v>
      </c>
      <c r="M21" s="225">
        <f t="shared" si="1"/>
        <v>0</v>
      </c>
      <c r="N21" s="225">
        <f t="shared" si="1"/>
        <v>0</v>
      </c>
      <c r="O21" s="225">
        <f t="shared" si="1"/>
        <v>0</v>
      </c>
      <c r="P21" s="225">
        <f t="shared" si="1"/>
        <v>0</v>
      </c>
      <c r="Q21" s="225">
        <f t="shared" si="1"/>
        <v>0</v>
      </c>
      <c r="R21" s="225">
        <f t="shared" si="1"/>
        <v>0</v>
      </c>
      <c r="S21" s="225">
        <f t="shared" si="1"/>
        <v>0</v>
      </c>
      <c r="T21" s="225">
        <f t="shared" si="1"/>
        <v>0</v>
      </c>
      <c r="U21" s="225">
        <f t="shared" si="1"/>
        <v>0</v>
      </c>
      <c r="V21" s="225">
        <f t="shared" si="1"/>
        <v>0</v>
      </c>
    </row>
    <row r="22" spans="1:23" ht="16.399999999999999" customHeight="1" x14ac:dyDescent="0.35">
      <c r="A22" s="65" t="s">
        <v>2</v>
      </c>
      <c r="B22" s="65"/>
      <c r="C22" s="65">
        <f>AVERAGE(C14,C21)</f>
        <v>0</v>
      </c>
      <c r="D22" s="65">
        <f t="shared" ref="D22:V22" si="2">AVERAGE(D14,D21)</f>
        <v>0</v>
      </c>
      <c r="E22" s="65">
        <f t="shared" si="2"/>
        <v>0</v>
      </c>
      <c r="F22" s="65">
        <f t="shared" si="2"/>
        <v>0</v>
      </c>
      <c r="G22" s="65">
        <f t="shared" si="2"/>
        <v>0</v>
      </c>
      <c r="H22" s="65">
        <f t="shared" si="2"/>
        <v>0</v>
      </c>
      <c r="I22" s="65">
        <f t="shared" si="2"/>
        <v>0</v>
      </c>
      <c r="J22" s="65">
        <f t="shared" si="2"/>
        <v>0</v>
      </c>
      <c r="K22" s="65">
        <f t="shared" si="2"/>
        <v>0</v>
      </c>
      <c r="L22" s="65">
        <f t="shared" si="2"/>
        <v>0</v>
      </c>
      <c r="M22" s="65">
        <f t="shared" si="2"/>
        <v>0</v>
      </c>
      <c r="N22" s="65">
        <f t="shared" si="2"/>
        <v>0</v>
      </c>
      <c r="O22" s="65">
        <f t="shared" si="2"/>
        <v>0</v>
      </c>
      <c r="P22" s="65">
        <f t="shared" si="2"/>
        <v>0</v>
      </c>
      <c r="Q22" s="65">
        <f t="shared" si="2"/>
        <v>0</v>
      </c>
      <c r="R22" s="65">
        <f t="shared" si="2"/>
        <v>0</v>
      </c>
      <c r="S22" s="65">
        <f t="shared" si="2"/>
        <v>0</v>
      </c>
      <c r="T22" s="65">
        <f t="shared" si="2"/>
        <v>0</v>
      </c>
      <c r="U22" s="65">
        <f t="shared" si="2"/>
        <v>0</v>
      </c>
      <c r="V22" s="65">
        <f t="shared" si="2"/>
        <v>0</v>
      </c>
    </row>
    <row r="23" spans="1:23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2"/>
      <c r="O23" s="152"/>
      <c r="P23" s="159">
        <v>43132</v>
      </c>
      <c r="Q23" s="168"/>
      <c r="R23" s="154"/>
      <c r="S23" s="154"/>
      <c r="T23" s="154"/>
      <c r="U23" s="154"/>
      <c r="V23" s="154"/>
      <c r="W23" s="154"/>
    </row>
    <row r="24" spans="1:23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8">
        <v>0</v>
      </c>
      <c r="Q24" s="157"/>
      <c r="R24" s="157"/>
      <c r="S24" s="157"/>
      <c r="T24" s="157"/>
      <c r="U24" s="157"/>
      <c r="V24" s="157"/>
      <c r="W24" s="157"/>
    </row>
    <row r="25" spans="1:23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8">
        <v>0</v>
      </c>
      <c r="Q25" s="157"/>
      <c r="R25" s="157"/>
      <c r="S25" s="157"/>
      <c r="T25" s="157"/>
      <c r="U25" s="157"/>
      <c r="V25" s="157"/>
      <c r="W25" s="157"/>
    </row>
    <row r="26" spans="1:23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/>
      <c r="O26" s="157"/>
      <c r="P26" s="159">
        <v>43344</v>
      </c>
      <c r="Q26" s="157"/>
      <c r="R26" s="157"/>
      <c r="S26" s="157"/>
      <c r="T26" s="157"/>
      <c r="U26" s="157"/>
      <c r="V26" s="157"/>
      <c r="W26" s="157"/>
    </row>
    <row r="27" spans="1:23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62" t="s">
        <v>166</v>
      </c>
      <c r="Q27" s="157"/>
      <c r="R27" s="157"/>
      <c r="S27" s="157"/>
      <c r="T27" s="157"/>
      <c r="U27" s="157"/>
      <c r="V27" s="157"/>
      <c r="W27" s="157"/>
    </row>
    <row r="28" spans="1:23" x14ac:dyDescent="0.35">
      <c r="A28" s="225" t="s">
        <v>167</v>
      </c>
      <c r="B28" s="225"/>
      <c r="C28" s="225">
        <f>IFERROR(C25-C24,"")</f>
        <v>0</v>
      </c>
      <c r="D28" s="225">
        <f t="shared" ref="D28:V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0</v>
      </c>
      <c r="O28" s="225">
        <f t="shared" si="3"/>
        <v>0</v>
      </c>
      <c r="P28" s="225">
        <f t="shared" si="3"/>
        <v>0</v>
      </c>
      <c r="Q28" s="225">
        <f t="shared" si="3"/>
        <v>0</v>
      </c>
      <c r="R28" s="225">
        <f t="shared" si="3"/>
        <v>0</v>
      </c>
      <c r="S28" s="225">
        <f t="shared" si="3"/>
        <v>0</v>
      </c>
      <c r="T28" s="225">
        <f t="shared" si="3"/>
        <v>0</v>
      </c>
      <c r="U28" s="225">
        <f t="shared" si="3"/>
        <v>0</v>
      </c>
      <c r="V28" s="225">
        <f t="shared" si="3"/>
        <v>0</v>
      </c>
    </row>
    <row r="29" spans="1:23" ht="16.399999999999999" customHeight="1" x14ac:dyDescent="0.35">
      <c r="A29" s="65" t="s">
        <v>2</v>
      </c>
      <c r="B29" s="65"/>
      <c r="C29" s="65">
        <f>AVERAGE(C21,C28,C14)</f>
        <v>0</v>
      </c>
      <c r="D29" s="65">
        <f t="shared" ref="D29:V29" si="4">AVERAGE(D21,D28,D14)</f>
        <v>0</v>
      </c>
      <c r="E29" s="65">
        <f t="shared" si="4"/>
        <v>0</v>
      </c>
      <c r="F29" s="65">
        <f t="shared" si="4"/>
        <v>0</v>
      </c>
      <c r="G29" s="65">
        <f t="shared" si="4"/>
        <v>0</v>
      </c>
      <c r="H29" s="65">
        <f t="shared" si="4"/>
        <v>0</v>
      </c>
      <c r="I29" s="65">
        <f t="shared" si="4"/>
        <v>0</v>
      </c>
      <c r="J29" s="65">
        <f t="shared" si="4"/>
        <v>0</v>
      </c>
      <c r="K29" s="65">
        <f t="shared" si="4"/>
        <v>0</v>
      </c>
      <c r="L29" s="65">
        <f t="shared" si="4"/>
        <v>0</v>
      </c>
      <c r="M29" s="65">
        <f t="shared" si="4"/>
        <v>0</v>
      </c>
      <c r="N29" s="65">
        <f t="shared" si="4"/>
        <v>0</v>
      </c>
      <c r="O29" s="65">
        <f t="shared" si="4"/>
        <v>0</v>
      </c>
      <c r="P29" s="65">
        <f t="shared" si="4"/>
        <v>0</v>
      </c>
      <c r="Q29" s="65">
        <f t="shared" si="4"/>
        <v>0</v>
      </c>
      <c r="R29" s="65">
        <f t="shared" si="4"/>
        <v>0</v>
      </c>
      <c r="S29" s="65">
        <f t="shared" si="4"/>
        <v>0</v>
      </c>
      <c r="T29" s="65">
        <f t="shared" si="4"/>
        <v>0</v>
      </c>
      <c r="U29" s="65">
        <f t="shared" si="4"/>
        <v>0</v>
      </c>
      <c r="V29" s="65">
        <f t="shared" si="4"/>
        <v>0</v>
      </c>
    </row>
    <row r="30" spans="1:23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/>
      <c r="O30" s="152"/>
      <c r="P30" s="159">
        <v>43344</v>
      </c>
      <c r="Q30" s="154"/>
      <c r="R30" s="154"/>
      <c r="S30" s="154"/>
      <c r="T30" s="154"/>
      <c r="U30" s="154"/>
      <c r="V30" s="154"/>
      <c r="W30" s="154"/>
    </row>
    <row r="31" spans="1:23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8">
        <v>0</v>
      </c>
      <c r="Q31" s="157"/>
      <c r="R31" s="157"/>
      <c r="S31" s="157"/>
      <c r="T31" s="157"/>
      <c r="U31" s="157"/>
      <c r="V31" s="157"/>
      <c r="W31" s="157"/>
    </row>
    <row r="32" spans="1:23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8">
        <v>0</v>
      </c>
      <c r="Q32" s="157"/>
      <c r="R32" s="157"/>
      <c r="S32" s="157"/>
      <c r="T32" s="157"/>
      <c r="U32" s="157"/>
      <c r="V32" s="157"/>
      <c r="W32" s="157"/>
    </row>
    <row r="33" spans="1:23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64">
        <v>43374</v>
      </c>
      <c r="Q33" s="157"/>
      <c r="R33" s="157"/>
      <c r="S33" s="157"/>
      <c r="T33" s="157"/>
      <c r="U33" s="157"/>
      <c r="V33" s="157"/>
      <c r="W33" s="157"/>
    </row>
    <row r="34" spans="1:23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62" t="s">
        <v>166</v>
      </c>
      <c r="Q34" s="157"/>
      <c r="R34" s="157"/>
      <c r="S34" s="157"/>
      <c r="T34" s="157"/>
      <c r="U34" s="157"/>
      <c r="V34" s="157"/>
      <c r="W34" s="157"/>
    </row>
    <row r="35" spans="1:23" x14ac:dyDescent="0.35">
      <c r="A35" s="225" t="s">
        <v>167</v>
      </c>
      <c r="B35" s="225"/>
      <c r="C35" s="225">
        <f>IFERROR(C32-C31,"")</f>
        <v>0</v>
      </c>
      <c r="D35" s="225">
        <f t="shared" ref="D35:V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0</v>
      </c>
      <c r="P35" s="225">
        <f t="shared" si="5"/>
        <v>0</v>
      </c>
      <c r="Q35" s="225">
        <f t="shared" si="5"/>
        <v>0</v>
      </c>
      <c r="R35" s="225">
        <f t="shared" si="5"/>
        <v>0</v>
      </c>
      <c r="S35" s="225">
        <f t="shared" si="5"/>
        <v>0</v>
      </c>
      <c r="T35" s="225">
        <f t="shared" si="5"/>
        <v>0</v>
      </c>
      <c r="U35" s="225">
        <f t="shared" si="5"/>
        <v>0</v>
      </c>
      <c r="V35" s="225">
        <f t="shared" si="5"/>
        <v>0</v>
      </c>
    </row>
    <row r="36" spans="1:23" ht="16.399999999999999" customHeight="1" x14ac:dyDescent="0.35">
      <c r="A36" s="65" t="s">
        <v>2</v>
      </c>
      <c r="B36" s="65"/>
      <c r="C36" s="65">
        <f>AVERAGE(C28,C35,C21,C14)</f>
        <v>0</v>
      </c>
      <c r="D36" s="65">
        <f t="shared" ref="D36:V36" si="6">AVERAGE(D28,D35,D21,D14)</f>
        <v>0</v>
      </c>
      <c r="E36" s="65">
        <f t="shared" si="6"/>
        <v>0</v>
      </c>
      <c r="F36" s="65">
        <f t="shared" si="6"/>
        <v>0</v>
      </c>
      <c r="G36" s="65">
        <f t="shared" si="6"/>
        <v>0</v>
      </c>
      <c r="H36" s="65">
        <f t="shared" si="6"/>
        <v>0</v>
      </c>
      <c r="I36" s="65">
        <f t="shared" si="6"/>
        <v>0</v>
      </c>
      <c r="J36" s="65">
        <f t="shared" si="6"/>
        <v>0</v>
      </c>
      <c r="K36" s="65">
        <f t="shared" si="6"/>
        <v>0</v>
      </c>
      <c r="L36" s="65">
        <f t="shared" si="6"/>
        <v>0</v>
      </c>
      <c r="M36" s="65">
        <f t="shared" si="6"/>
        <v>0</v>
      </c>
      <c r="N36" s="65">
        <f t="shared" si="6"/>
        <v>0</v>
      </c>
      <c r="O36" s="65">
        <f t="shared" si="6"/>
        <v>0</v>
      </c>
      <c r="P36" s="65">
        <f t="shared" si="6"/>
        <v>0</v>
      </c>
      <c r="Q36" s="65">
        <f t="shared" si="6"/>
        <v>0</v>
      </c>
      <c r="R36" s="65">
        <f t="shared" si="6"/>
        <v>0</v>
      </c>
      <c r="S36" s="65">
        <f t="shared" si="6"/>
        <v>0</v>
      </c>
      <c r="T36" s="65">
        <f t="shared" si="6"/>
        <v>0</v>
      </c>
      <c r="U36" s="65">
        <f t="shared" si="6"/>
        <v>0</v>
      </c>
      <c r="V36" s="65">
        <f t="shared" si="6"/>
        <v>0</v>
      </c>
    </row>
    <row r="37" spans="1:23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52"/>
      <c r="P37" s="159">
        <v>43374</v>
      </c>
      <c r="Q37" s="154"/>
      <c r="R37" s="154"/>
      <c r="S37" s="154"/>
      <c r="T37" s="154"/>
      <c r="U37" s="154"/>
      <c r="V37" s="154"/>
      <c r="W37" s="154"/>
    </row>
    <row r="38" spans="1:23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8">
        <v>0</v>
      </c>
      <c r="Q38" s="157"/>
      <c r="R38" s="157"/>
      <c r="S38" s="157"/>
      <c r="T38" s="157"/>
      <c r="U38" s="157"/>
      <c r="V38" s="157"/>
      <c r="W38" s="157"/>
    </row>
    <row r="39" spans="1:23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8">
        <v>0</v>
      </c>
      <c r="Q39" s="157"/>
      <c r="R39" s="157"/>
      <c r="S39" s="157"/>
      <c r="T39" s="157"/>
      <c r="U39" s="157"/>
      <c r="V39" s="157"/>
      <c r="W39" s="157"/>
    </row>
    <row r="40" spans="1:23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9">
        <v>43586</v>
      </c>
      <c r="Q40" s="157"/>
      <c r="R40" s="157"/>
      <c r="S40" s="157"/>
      <c r="T40" s="157"/>
      <c r="U40" s="157"/>
      <c r="V40" s="157"/>
      <c r="W40" s="157"/>
    </row>
    <row r="41" spans="1:23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62" t="s">
        <v>166</v>
      </c>
      <c r="Q41" s="157"/>
      <c r="R41" s="157"/>
      <c r="S41" s="157"/>
      <c r="T41" s="157"/>
      <c r="U41" s="157"/>
      <c r="V41" s="157"/>
      <c r="W41" s="157"/>
    </row>
    <row r="42" spans="1:23" x14ac:dyDescent="0.35">
      <c r="A42" s="225" t="s">
        <v>167</v>
      </c>
      <c r="B42" s="225"/>
      <c r="C42" s="225">
        <f>IFERROR(C39-C38,"")</f>
        <v>0</v>
      </c>
      <c r="D42" s="225">
        <f t="shared" ref="D42:V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0</v>
      </c>
      <c r="P42" s="225">
        <f t="shared" si="7"/>
        <v>0</v>
      </c>
      <c r="Q42" s="225">
        <f t="shared" si="7"/>
        <v>0</v>
      </c>
      <c r="R42" s="225">
        <f t="shared" si="7"/>
        <v>0</v>
      </c>
      <c r="S42" s="225">
        <f t="shared" si="7"/>
        <v>0</v>
      </c>
      <c r="T42" s="225">
        <f t="shared" si="7"/>
        <v>0</v>
      </c>
      <c r="U42" s="225">
        <f t="shared" si="7"/>
        <v>0</v>
      </c>
      <c r="V42" s="225">
        <f t="shared" si="7"/>
        <v>0</v>
      </c>
    </row>
    <row r="43" spans="1:23" ht="16.399999999999999" customHeight="1" x14ac:dyDescent="0.35">
      <c r="A43" s="65" t="s">
        <v>2</v>
      </c>
      <c r="B43" s="65"/>
      <c r="C43" s="65">
        <f>AVERAGE(C35,C42,C28,C21,C14)</f>
        <v>0</v>
      </c>
      <c r="D43" s="65">
        <f t="shared" ref="D43:V43" si="8">AVERAGE(D35,D42,D28,D21,D14)</f>
        <v>0</v>
      </c>
      <c r="E43" s="65">
        <f t="shared" si="8"/>
        <v>0</v>
      </c>
      <c r="F43" s="65">
        <f t="shared" si="8"/>
        <v>0</v>
      </c>
      <c r="G43" s="65">
        <f t="shared" si="8"/>
        <v>0</v>
      </c>
      <c r="H43" s="65">
        <f t="shared" si="8"/>
        <v>0</v>
      </c>
      <c r="I43" s="65">
        <f t="shared" si="8"/>
        <v>0</v>
      </c>
      <c r="J43" s="65">
        <f t="shared" si="8"/>
        <v>0</v>
      </c>
      <c r="K43" s="65">
        <f t="shared" si="8"/>
        <v>0</v>
      </c>
      <c r="L43" s="65">
        <f t="shared" si="8"/>
        <v>0</v>
      </c>
      <c r="M43" s="65">
        <f t="shared" si="8"/>
        <v>0</v>
      </c>
      <c r="N43" s="65">
        <f t="shared" si="8"/>
        <v>0</v>
      </c>
      <c r="O43" s="65">
        <f t="shared" si="8"/>
        <v>0</v>
      </c>
      <c r="P43" s="65">
        <f t="shared" si="8"/>
        <v>0</v>
      </c>
      <c r="Q43" s="65">
        <f t="shared" si="8"/>
        <v>0</v>
      </c>
      <c r="R43" s="65">
        <f t="shared" si="8"/>
        <v>0</v>
      </c>
      <c r="S43" s="65">
        <f t="shared" si="8"/>
        <v>0</v>
      </c>
      <c r="T43" s="65">
        <f t="shared" si="8"/>
        <v>0</v>
      </c>
      <c r="U43" s="65">
        <f t="shared" si="8"/>
        <v>0</v>
      </c>
      <c r="V43" s="65">
        <f t="shared" si="8"/>
        <v>0</v>
      </c>
    </row>
    <row r="44" spans="1:23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/>
      <c r="P44" s="154"/>
      <c r="Q44" s="154"/>
      <c r="R44" s="154"/>
      <c r="S44" s="154"/>
      <c r="T44" s="154"/>
      <c r="U44" s="154"/>
      <c r="V44" s="154"/>
      <c r="W44" s="154"/>
    </row>
    <row r="45" spans="1:23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</row>
    <row r="46" spans="1:23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</row>
    <row r="47" spans="1:23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</row>
    <row r="48" spans="1:23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</row>
    <row r="49" spans="1:23" x14ac:dyDescent="0.35">
      <c r="A49" s="225" t="s">
        <v>167</v>
      </c>
      <c r="B49" s="225"/>
      <c r="C49" s="225">
        <f>IFERROR(C46-C45,"")</f>
        <v>0</v>
      </c>
      <c r="D49" s="225">
        <f t="shared" ref="D49:V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  <c r="V49" s="225">
        <f t="shared" si="9"/>
        <v>0</v>
      </c>
    </row>
    <row r="50" spans="1:23" ht="16.399999999999999" customHeight="1" x14ac:dyDescent="0.35">
      <c r="A50" s="65" t="s">
        <v>2</v>
      </c>
      <c r="B50" s="65"/>
      <c r="C50" s="65">
        <f>AVERAGE(C42,C49,C35,C28,C21,C14)</f>
        <v>0</v>
      </c>
      <c r="D50" s="65">
        <f t="shared" ref="D50:V50" si="10">AVERAGE(D42,D49,D35,D28,D21,D14)</f>
        <v>0</v>
      </c>
      <c r="E50" s="65">
        <f t="shared" si="10"/>
        <v>0</v>
      </c>
      <c r="F50" s="65">
        <f t="shared" si="10"/>
        <v>0</v>
      </c>
      <c r="G50" s="65">
        <f t="shared" si="10"/>
        <v>0</v>
      </c>
      <c r="H50" s="65">
        <f t="shared" si="10"/>
        <v>0</v>
      </c>
      <c r="I50" s="65">
        <f t="shared" si="10"/>
        <v>0</v>
      </c>
      <c r="J50" s="65">
        <f t="shared" si="10"/>
        <v>0</v>
      </c>
      <c r="K50" s="65">
        <f t="shared" si="10"/>
        <v>0</v>
      </c>
      <c r="L50" s="65">
        <f t="shared" si="10"/>
        <v>0</v>
      </c>
      <c r="M50" s="65">
        <f t="shared" si="10"/>
        <v>0</v>
      </c>
      <c r="N50" s="65">
        <f t="shared" si="10"/>
        <v>0</v>
      </c>
      <c r="O50" s="65">
        <f t="shared" si="10"/>
        <v>0</v>
      </c>
      <c r="P50" s="65">
        <f t="shared" si="10"/>
        <v>0</v>
      </c>
      <c r="Q50" s="65">
        <f t="shared" si="10"/>
        <v>0</v>
      </c>
      <c r="R50" s="65">
        <f t="shared" si="10"/>
        <v>0</v>
      </c>
      <c r="S50" s="65">
        <f t="shared" si="10"/>
        <v>0</v>
      </c>
      <c r="T50" s="65">
        <f t="shared" si="10"/>
        <v>0</v>
      </c>
      <c r="U50" s="65">
        <f t="shared" si="10"/>
        <v>0</v>
      </c>
      <c r="V50" s="65">
        <f t="shared" si="10"/>
        <v>0</v>
      </c>
    </row>
    <row r="51" spans="1:23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/>
      <c r="P51" s="154"/>
      <c r="Q51" s="154"/>
      <c r="R51" s="154"/>
      <c r="S51" s="154"/>
      <c r="T51" s="154"/>
      <c r="U51" s="154"/>
      <c r="V51" s="154"/>
      <c r="W51" s="154"/>
    </row>
    <row r="52" spans="1:23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</row>
    <row r="53" spans="1:23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</row>
    <row r="54" spans="1:23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</row>
    <row r="55" spans="1:23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</row>
    <row r="56" spans="1:23" x14ac:dyDescent="0.35">
      <c r="A56" s="225" t="s">
        <v>167</v>
      </c>
      <c r="B56" s="225"/>
      <c r="C56" s="225">
        <f>IFERROR(C53-C52,"")</f>
        <v>0</v>
      </c>
      <c r="D56" s="225">
        <f t="shared" ref="D56:V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0</v>
      </c>
      <c r="P56" s="225">
        <f t="shared" si="11"/>
        <v>0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  <c r="V56" s="225">
        <f t="shared" si="11"/>
        <v>0</v>
      </c>
    </row>
    <row r="57" spans="1:23" ht="16.399999999999999" customHeight="1" x14ac:dyDescent="0.35">
      <c r="A57" s="65" t="s">
        <v>2</v>
      </c>
      <c r="B57" s="65"/>
      <c r="C57" s="65">
        <f>AVERAGE(C49,C56,C42,C35,C28,C21,C14)</f>
        <v>0</v>
      </c>
      <c r="D57" s="65">
        <f t="shared" ref="D57:V57" si="12">AVERAGE(D49,D56,D42,D35,D28,D21,D14)</f>
        <v>0</v>
      </c>
      <c r="E57" s="65">
        <f t="shared" si="12"/>
        <v>0</v>
      </c>
      <c r="F57" s="65">
        <f t="shared" si="12"/>
        <v>0</v>
      </c>
      <c r="G57" s="65">
        <f t="shared" si="12"/>
        <v>0</v>
      </c>
      <c r="H57" s="65">
        <f t="shared" si="12"/>
        <v>0</v>
      </c>
      <c r="I57" s="65">
        <f t="shared" si="12"/>
        <v>0</v>
      </c>
      <c r="J57" s="65">
        <f t="shared" si="12"/>
        <v>0</v>
      </c>
      <c r="K57" s="65">
        <f t="shared" si="12"/>
        <v>0</v>
      </c>
      <c r="L57" s="65">
        <f t="shared" si="12"/>
        <v>0</v>
      </c>
      <c r="M57" s="65">
        <f t="shared" si="12"/>
        <v>0</v>
      </c>
      <c r="N57" s="65">
        <f t="shared" si="12"/>
        <v>0</v>
      </c>
      <c r="O57" s="65">
        <f t="shared" si="12"/>
        <v>0</v>
      </c>
      <c r="P57" s="65">
        <f t="shared" si="12"/>
        <v>0</v>
      </c>
      <c r="Q57" s="65">
        <f t="shared" si="12"/>
        <v>0</v>
      </c>
      <c r="R57" s="65">
        <f t="shared" si="12"/>
        <v>0</v>
      </c>
      <c r="S57" s="65">
        <f t="shared" si="12"/>
        <v>0</v>
      </c>
      <c r="T57" s="65">
        <f t="shared" si="12"/>
        <v>0</v>
      </c>
      <c r="U57" s="65">
        <f t="shared" si="12"/>
        <v>0</v>
      </c>
      <c r="V57" s="65">
        <f t="shared" si="12"/>
        <v>0</v>
      </c>
    </row>
    <row r="58" spans="1:23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/>
      <c r="P58" s="154"/>
      <c r="Q58" s="154"/>
      <c r="R58" s="154"/>
      <c r="S58" s="154"/>
      <c r="T58" s="154"/>
      <c r="U58" s="154"/>
      <c r="V58" s="154"/>
      <c r="W58" s="154"/>
    </row>
    <row r="59" spans="1:23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</row>
    <row r="60" spans="1:23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</row>
    <row r="61" spans="1:23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</row>
    <row r="62" spans="1:23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</row>
    <row r="63" spans="1:23" x14ac:dyDescent="0.35">
      <c r="A63" s="225" t="s">
        <v>167</v>
      </c>
      <c r="B63" s="225"/>
      <c r="C63" s="225">
        <f>IFERROR(C60-C59,"")</f>
        <v>0</v>
      </c>
      <c r="D63" s="225">
        <f t="shared" ref="D63:V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  <c r="V63" s="225">
        <f t="shared" si="13"/>
        <v>0</v>
      </c>
    </row>
    <row r="64" spans="1:23" ht="16.399999999999999" customHeight="1" x14ac:dyDescent="0.35">
      <c r="A64" s="65" t="s">
        <v>2</v>
      </c>
      <c r="B64" s="65"/>
      <c r="C64" s="65">
        <f>AVERAGE(C56,C63,C49,C42,C35,C28,C21,C14)</f>
        <v>0</v>
      </c>
      <c r="D64" s="65">
        <f t="shared" ref="D64:V64" si="14">AVERAGE(D56,D63,D49,D42,D35,D28,D21,D14)</f>
        <v>0</v>
      </c>
      <c r="E64" s="65">
        <f t="shared" si="14"/>
        <v>0</v>
      </c>
      <c r="F64" s="65">
        <f t="shared" si="14"/>
        <v>0</v>
      </c>
      <c r="G64" s="65">
        <f t="shared" si="14"/>
        <v>0</v>
      </c>
      <c r="H64" s="65">
        <f t="shared" si="14"/>
        <v>0</v>
      </c>
      <c r="I64" s="65">
        <f t="shared" si="14"/>
        <v>0</v>
      </c>
      <c r="J64" s="65">
        <f t="shared" si="14"/>
        <v>0</v>
      </c>
      <c r="K64" s="65">
        <f t="shared" si="14"/>
        <v>0</v>
      </c>
      <c r="L64" s="65">
        <f t="shared" si="14"/>
        <v>0</v>
      </c>
      <c r="M64" s="65">
        <f t="shared" si="14"/>
        <v>0</v>
      </c>
      <c r="N64" s="65">
        <f t="shared" si="14"/>
        <v>0</v>
      </c>
      <c r="O64" s="65">
        <f t="shared" si="14"/>
        <v>0</v>
      </c>
      <c r="P64" s="65">
        <f t="shared" si="14"/>
        <v>0</v>
      </c>
      <c r="Q64" s="65">
        <f t="shared" si="14"/>
        <v>0</v>
      </c>
      <c r="R64" s="65">
        <f t="shared" si="14"/>
        <v>0</v>
      </c>
      <c r="S64" s="65">
        <f t="shared" si="14"/>
        <v>0</v>
      </c>
      <c r="T64" s="65">
        <f t="shared" si="14"/>
        <v>0</v>
      </c>
      <c r="U64" s="65">
        <f t="shared" si="14"/>
        <v>0</v>
      </c>
      <c r="V64" s="65">
        <f t="shared" si="14"/>
        <v>0</v>
      </c>
    </row>
  </sheetData>
  <sheetProtection algorithmName="SHA-512" hashValue="65UOCDtqMiX+H9J0aqRswFqd4vnSpVLT40BNYpO18HEK4bVazz+deLiJ2w2Lu/KPmVdJgwxmNccKYZMR3L51EQ==" saltValue="NJVWplOn5SDEdhAt9jMLHg==" spinCount="100000" sheet="1" objects="1" scenarios="1"/>
  <autoFilter ref="A2:W64" xr:uid="{00000000-0009-0000-0000-000002000000}"/>
  <mergeCells count="4">
    <mergeCell ref="A7:B7"/>
    <mergeCell ref="A8:B8"/>
    <mergeCell ref="B4:C4"/>
    <mergeCell ref="B5:C5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W64"/>
  <sheetViews>
    <sheetView workbookViewId="0">
      <selection activeCell="A6" sqref="A6"/>
    </sheetView>
  </sheetViews>
  <sheetFormatPr defaultColWidth="8.81640625" defaultRowHeight="14.5" x14ac:dyDescent="0.35"/>
  <cols>
    <col min="1" max="1" width="17" customWidth="1"/>
    <col min="2" max="2" width="6.81640625" customWidth="1"/>
    <col min="3" max="5" width="21.54296875" bestFit="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2" width="17.1796875" bestFit="1" customWidth="1"/>
    <col min="13" max="13" width="18.1796875" bestFit="1" customWidth="1"/>
    <col min="14" max="22" width="17.1796875" bestFit="1" customWidth="1"/>
    <col min="23" max="23" width="15.1796875" bestFit="1" customWidth="1"/>
  </cols>
  <sheetData>
    <row r="1" spans="1:23" ht="24" thickBot="1" x14ac:dyDescent="0.4">
      <c r="A1" s="186"/>
    </row>
    <row r="2" spans="1:23" x14ac:dyDescent="0.35">
      <c r="E2" s="130" t="s">
        <v>103</v>
      </c>
      <c r="F2" s="131"/>
      <c r="G2" s="131" t="s">
        <v>104</v>
      </c>
      <c r="H2" s="131" t="s">
        <v>105</v>
      </c>
      <c r="I2" s="132"/>
    </row>
    <row r="3" spans="1:23" x14ac:dyDescent="0.35">
      <c r="E3" s="133"/>
      <c r="F3" s="134" t="s">
        <v>106</v>
      </c>
      <c r="G3" s="135" t="s">
        <v>107</v>
      </c>
      <c r="H3" s="134"/>
      <c r="I3" s="136"/>
    </row>
    <row r="4" spans="1:23" ht="15" thickBot="1" x14ac:dyDescent="0.4">
      <c r="A4" t="s">
        <v>168</v>
      </c>
      <c r="B4" t="s">
        <v>169</v>
      </c>
      <c r="E4" s="137"/>
      <c r="F4" s="138" t="s">
        <v>170</v>
      </c>
      <c r="G4" s="139" t="s">
        <v>111</v>
      </c>
      <c r="H4" s="138" t="s">
        <v>112</v>
      </c>
      <c r="I4" s="140"/>
    </row>
    <row r="5" spans="1:23" x14ac:dyDescent="0.35">
      <c r="A5" s="170" t="s">
        <v>171</v>
      </c>
      <c r="B5" t="s">
        <v>172</v>
      </c>
    </row>
    <row r="6" spans="1:23" ht="30" customHeight="1" x14ac:dyDescent="0.35">
      <c r="A6" s="142" t="s">
        <v>173</v>
      </c>
      <c r="B6" s="169"/>
      <c r="C6" s="142" t="s">
        <v>174</v>
      </c>
      <c r="D6" s="142" t="s">
        <v>175</v>
      </c>
      <c r="E6" s="142" t="s">
        <v>176</v>
      </c>
      <c r="F6" s="142" t="s">
        <v>177</v>
      </c>
      <c r="G6" s="142" t="s">
        <v>178</v>
      </c>
      <c r="H6" s="142" t="s">
        <v>179</v>
      </c>
      <c r="I6" s="142" t="s">
        <v>180</v>
      </c>
      <c r="J6" s="142" t="s">
        <v>181</v>
      </c>
      <c r="K6" s="142" t="s">
        <v>182</v>
      </c>
      <c r="L6" s="142" t="s">
        <v>183</v>
      </c>
      <c r="M6" s="142" t="s">
        <v>184</v>
      </c>
      <c r="N6" s="142" t="s">
        <v>185</v>
      </c>
      <c r="O6" s="142" t="s">
        <v>186</v>
      </c>
      <c r="P6" s="144" t="s">
        <v>187</v>
      </c>
      <c r="Q6" s="142" t="s">
        <v>63</v>
      </c>
      <c r="R6" s="142" t="s">
        <v>188</v>
      </c>
      <c r="S6" s="142" t="s">
        <v>189</v>
      </c>
      <c r="T6" s="142" t="s">
        <v>190</v>
      </c>
      <c r="U6" s="142" t="s">
        <v>191</v>
      </c>
      <c r="V6" s="142" t="s">
        <v>192</v>
      </c>
      <c r="W6" s="142" t="s">
        <v>193</v>
      </c>
    </row>
    <row r="7" spans="1:23" x14ac:dyDescent="0.35">
      <c r="A7" s="252" t="s">
        <v>137</v>
      </c>
      <c r="B7" s="252"/>
      <c r="C7" s="146" t="s">
        <v>138</v>
      </c>
      <c r="D7" s="145" t="s">
        <v>139</v>
      </c>
      <c r="E7" s="146">
        <v>1</v>
      </c>
      <c r="F7" s="145" t="s">
        <v>140</v>
      </c>
      <c r="G7" s="145" t="s">
        <v>141</v>
      </c>
      <c r="H7" s="145" t="s">
        <v>142</v>
      </c>
      <c r="I7" s="145" t="s">
        <v>143</v>
      </c>
      <c r="J7" s="145" t="s">
        <v>144</v>
      </c>
      <c r="K7" s="145" t="s">
        <v>145</v>
      </c>
      <c r="L7" s="145" t="s">
        <v>146</v>
      </c>
      <c r="M7" s="145" t="s">
        <v>147</v>
      </c>
      <c r="N7" s="145" t="s">
        <v>148</v>
      </c>
      <c r="O7" s="145" t="s">
        <v>149</v>
      </c>
      <c r="P7" s="145" t="s">
        <v>150</v>
      </c>
      <c r="Q7" s="145" t="s">
        <v>151</v>
      </c>
      <c r="R7" s="145" t="s">
        <v>152</v>
      </c>
      <c r="S7" s="145" t="s">
        <v>153</v>
      </c>
      <c r="T7" s="145" t="s">
        <v>154</v>
      </c>
      <c r="U7" s="145" t="s">
        <v>155</v>
      </c>
      <c r="V7" s="145" t="s">
        <v>156</v>
      </c>
      <c r="W7" s="145" t="s">
        <v>157</v>
      </c>
    </row>
    <row r="8" spans="1:23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1</v>
      </c>
      <c r="K8" s="147">
        <v>2</v>
      </c>
      <c r="L8" s="147">
        <v>1</v>
      </c>
      <c r="M8" s="147">
        <v>2</v>
      </c>
      <c r="N8" s="147">
        <v>1</v>
      </c>
      <c r="O8" s="147">
        <v>1</v>
      </c>
      <c r="P8" s="147" t="s">
        <v>194</v>
      </c>
      <c r="Q8" s="147">
        <v>1</v>
      </c>
      <c r="R8" s="147">
        <v>1</v>
      </c>
      <c r="S8" s="147">
        <v>1</v>
      </c>
      <c r="T8" s="147">
        <v>1</v>
      </c>
      <c r="U8" s="147">
        <v>4</v>
      </c>
      <c r="V8" s="147">
        <v>1</v>
      </c>
      <c r="W8" s="147">
        <v>1</v>
      </c>
    </row>
    <row r="9" spans="1:23" x14ac:dyDescent="0.35">
      <c r="A9" s="150" t="s">
        <v>159</v>
      </c>
      <c r="B9" s="151"/>
      <c r="C9" s="152"/>
      <c r="D9" s="152"/>
      <c r="E9" s="152"/>
      <c r="F9" s="152"/>
      <c r="G9" s="152"/>
      <c r="H9" s="152"/>
      <c r="I9" s="152"/>
      <c r="J9" s="152"/>
      <c r="K9" s="154"/>
      <c r="L9" s="152"/>
      <c r="M9" s="152"/>
      <c r="N9" s="152"/>
      <c r="O9" s="152"/>
      <c r="P9" s="152"/>
      <c r="Q9" s="154"/>
      <c r="R9" s="152"/>
      <c r="S9" s="152"/>
      <c r="T9" s="152"/>
      <c r="U9" s="152"/>
      <c r="V9" s="152"/>
      <c r="W9" s="152"/>
    </row>
    <row r="10" spans="1:23" x14ac:dyDescent="0.35">
      <c r="A10" s="155" t="s">
        <v>161</v>
      </c>
      <c r="B10" s="156" t="s">
        <v>162</v>
      </c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  <c r="V10" s="157"/>
      <c r="W10" s="157"/>
    </row>
    <row r="11" spans="1:23" x14ac:dyDescent="0.35">
      <c r="A11" s="155" t="s">
        <v>161</v>
      </c>
      <c r="B11" s="156" t="s">
        <v>163</v>
      </c>
      <c r="C11" s="157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57"/>
      <c r="P11" s="157"/>
      <c r="Q11" s="157"/>
      <c r="R11" s="157"/>
      <c r="S11" s="157"/>
      <c r="T11" s="157"/>
      <c r="U11" s="157"/>
      <c r="V11" s="157"/>
      <c r="W11" s="157"/>
    </row>
    <row r="12" spans="1:23" x14ac:dyDescent="0.35">
      <c r="A12" s="155" t="s">
        <v>164</v>
      </c>
      <c r="B12" s="156"/>
      <c r="C12" s="157"/>
      <c r="D12" s="157"/>
      <c r="E12" s="157"/>
      <c r="F12" s="157"/>
      <c r="G12" s="157"/>
      <c r="H12" s="157"/>
      <c r="I12" s="157"/>
      <c r="J12" s="166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</row>
    <row r="13" spans="1:23" x14ac:dyDescent="0.35">
      <c r="A13" s="160" t="s">
        <v>165</v>
      </c>
      <c r="B13" s="161"/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</row>
    <row r="14" spans="1:23" x14ac:dyDescent="0.35">
      <c r="A14" s="225" t="s">
        <v>167</v>
      </c>
      <c r="B14" s="225"/>
      <c r="C14" s="225">
        <f>IFERROR(C11-C10,"")</f>
        <v>0</v>
      </c>
      <c r="D14" s="225">
        <f t="shared" ref="D14:W14" si="0">IFERROR(D11-D10,"")</f>
        <v>0</v>
      </c>
      <c r="E14" s="225">
        <f t="shared" si="0"/>
        <v>0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0</v>
      </c>
      <c r="J14" s="225">
        <f t="shared" si="0"/>
        <v>0</v>
      </c>
      <c r="K14" s="225">
        <f t="shared" si="0"/>
        <v>0</v>
      </c>
      <c r="L14" s="225">
        <f t="shared" si="0"/>
        <v>0</v>
      </c>
      <c r="M14" s="225">
        <f t="shared" si="0"/>
        <v>0</v>
      </c>
      <c r="N14" s="225">
        <f t="shared" si="0"/>
        <v>0</v>
      </c>
      <c r="O14" s="225">
        <f t="shared" si="0"/>
        <v>0</v>
      </c>
      <c r="P14" s="225">
        <f t="shared" si="0"/>
        <v>0</v>
      </c>
      <c r="Q14" s="225">
        <f t="shared" si="0"/>
        <v>0</v>
      </c>
      <c r="R14" s="225">
        <f t="shared" si="0"/>
        <v>0</v>
      </c>
      <c r="S14" s="225">
        <f t="shared" si="0"/>
        <v>0</v>
      </c>
      <c r="T14" s="225">
        <f t="shared" si="0"/>
        <v>0</v>
      </c>
      <c r="U14" s="225">
        <f t="shared" si="0"/>
        <v>0</v>
      </c>
      <c r="V14" s="225">
        <f t="shared" si="0"/>
        <v>0</v>
      </c>
      <c r="W14" s="225">
        <f t="shared" si="0"/>
        <v>0</v>
      </c>
    </row>
    <row r="15" spans="1:23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</row>
    <row r="16" spans="1:23" x14ac:dyDescent="0.35">
      <c r="A16" s="150" t="s">
        <v>159</v>
      </c>
      <c r="B16" s="151"/>
      <c r="C16" s="163"/>
      <c r="D16" s="154"/>
      <c r="E16" s="154"/>
      <c r="F16" s="154"/>
      <c r="G16" s="154"/>
      <c r="H16" s="154"/>
      <c r="I16" s="154"/>
      <c r="J16" s="152"/>
      <c r="K16" s="154"/>
      <c r="L16" s="154"/>
      <c r="M16" s="154"/>
      <c r="N16" s="152"/>
      <c r="O16" s="152"/>
      <c r="P16" s="154"/>
      <c r="Q16" s="154"/>
      <c r="R16" s="154"/>
      <c r="S16" s="154"/>
      <c r="T16" s="154"/>
      <c r="U16" s="154"/>
      <c r="V16" s="154"/>
      <c r="W16" s="154"/>
    </row>
    <row r="17" spans="1:23" x14ac:dyDescent="0.35">
      <c r="A17" s="155" t="s">
        <v>161</v>
      </c>
      <c r="B17" s="156" t="s">
        <v>162</v>
      </c>
      <c r="C17" s="165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</row>
    <row r="18" spans="1:23" x14ac:dyDescent="0.35">
      <c r="A18" s="155" t="s">
        <v>161</v>
      </c>
      <c r="B18" s="156" t="s">
        <v>163</v>
      </c>
      <c r="C18" s="165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</row>
    <row r="19" spans="1:23" x14ac:dyDescent="0.35">
      <c r="A19" s="155" t="s">
        <v>164</v>
      </c>
      <c r="B19" s="156"/>
      <c r="C19" s="165"/>
      <c r="D19" s="157"/>
      <c r="E19" s="157"/>
      <c r="F19" s="157"/>
      <c r="G19" s="157"/>
      <c r="H19" s="157"/>
      <c r="I19" s="157"/>
      <c r="J19" s="166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</row>
    <row r="20" spans="1:23" x14ac:dyDescent="0.35">
      <c r="A20" s="160" t="s">
        <v>165</v>
      </c>
      <c r="B20" s="167"/>
      <c r="C20" s="165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</row>
    <row r="21" spans="1:23" x14ac:dyDescent="0.35">
      <c r="A21" s="225" t="s">
        <v>167</v>
      </c>
      <c r="B21" s="225"/>
      <c r="C21" s="225">
        <f>IFERROR(C18-C17,"")</f>
        <v>0</v>
      </c>
      <c r="D21" s="225">
        <f t="shared" ref="D21:W21" si="1">IFERROR(D18-D17,"")</f>
        <v>0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0</v>
      </c>
      <c r="J21" s="225">
        <f t="shared" si="1"/>
        <v>0</v>
      </c>
      <c r="K21" s="225">
        <f t="shared" si="1"/>
        <v>0</v>
      </c>
      <c r="L21" s="225">
        <f t="shared" si="1"/>
        <v>0</v>
      </c>
      <c r="M21" s="225">
        <f t="shared" si="1"/>
        <v>0</v>
      </c>
      <c r="N21" s="225">
        <f t="shared" si="1"/>
        <v>0</v>
      </c>
      <c r="O21" s="225">
        <f t="shared" si="1"/>
        <v>0</v>
      </c>
      <c r="P21" s="225">
        <f t="shared" si="1"/>
        <v>0</v>
      </c>
      <c r="Q21" s="225">
        <f t="shared" si="1"/>
        <v>0</v>
      </c>
      <c r="R21" s="225">
        <f t="shared" si="1"/>
        <v>0</v>
      </c>
      <c r="S21" s="225">
        <f t="shared" si="1"/>
        <v>0</v>
      </c>
      <c r="T21" s="225">
        <f t="shared" si="1"/>
        <v>0</v>
      </c>
      <c r="U21" s="225">
        <f t="shared" si="1"/>
        <v>0</v>
      </c>
      <c r="V21" s="225">
        <f t="shared" si="1"/>
        <v>0</v>
      </c>
      <c r="W21" s="225">
        <f t="shared" si="1"/>
        <v>0</v>
      </c>
    </row>
    <row r="22" spans="1:23" ht="16.399999999999999" customHeight="1" x14ac:dyDescent="0.35">
      <c r="A22" s="65" t="s">
        <v>2</v>
      </c>
      <c r="B22" s="65"/>
      <c r="C22" s="65">
        <f>AVERAGE(C14,C21)</f>
        <v>0</v>
      </c>
      <c r="D22" s="65">
        <f t="shared" ref="D22:W22" si="2">AVERAGE(D14,D21)</f>
        <v>0</v>
      </c>
      <c r="E22" s="65">
        <f t="shared" si="2"/>
        <v>0</v>
      </c>
      <c r="F22" s="65">
        <f t="shared" si="2"/>
        <v>0</v>
      </c>
      <c r="G22" s="65">
        <f t="shared" si="2"/>
        <v>0</v>
      </c>
      <c r="H22" s="65">
        <f t="shared" si="2"/>
        <v>0</v>
      </c>
      <c r="I22" s="65">
        <f t="shared" si="2"/>
        <v>0</v>
      </c>
      <c r="J22" s="65">
        <f t="shared" si="2"/>
        <v>0</v>
      </c>
      <c r="K22" s="65">
        <f t="shared" si="2"/>
        <v>0</v>
      </c>
      <c r="L22" s="65">
        <f t="shared" si="2"/>
        <v>0</v>
      </c>
      <c r="M22" s="65">
        <f t="shared" si="2"/>
        <v>0</v>
      </c>
      <c r="N22" s="65">
        <f t="shared" si="2"/>
        <v>0</v>
      </c>
      <c r="O22" s="65">
        <f t="shared" si="2"/>
        <v>0</v>
      </c>
      <c r="P22" s="65">
        <f t="shared" si="2"/>
        <v>0</v>
      </c>
      <c r="Q22" s="65">
        <f t="shared" si="2"/>
        <v>0</v>
      </c>
      <c r="R22" s="65">
        <f t="shared" si="2"/>
        <v>0</v>
      </c>
      <c r="S22" s="65">
        <f t="shared" si="2"/>
        <v>0</v>
      </c>
      <c r="T22" s="65">
        <f t="shared" si="2"/>
        <v>0</v>
      </c>
      <c r="U22" s="65">
        <f t="shared" si="2"/>
        <v>0</v>
      </c>
      <c r="V22" s="65">
        <f t="shared" si="2"/>
        <v>0</v>
      </c>
      <c r="W22" s="65">
        <f t="shared" si="2"/>
        <v>0</v>
      </c>
    </row>
    <row r="23" spans="1:23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2"/>
      <c r="O23" s="152"/>
      <c r="P23" s="154"/>
      <c r="Q23" s="168"/>
      <c r="R23" s="154"/>
      <c r="S23" s="154"/>
      <c r="T23" s="154"/>
      <c r="U23" s="154"/>
      <c r="V23" s="154"/>
      <c r="W23" s="154"/>
    </row>
    <row r="24" spans="1:23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7"/>
      <c r="W24" s="157"/>
    </row>
    <row r="25" spans="1:23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  <c r="W25" s="157"/>
    </row>
    <row r="26" spans="1:23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7"/>
      <c r="W26" s="157"/>
    </row>
    <row r="27" spans="1:23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7"/>
      <c r="W27" s="157"/>
    </row>
    <row r="28" spans="1:23" x14ac:dyDescent="0.35">
      <c r="A28" s="225" t="s">
        <v>167</v>
      </c>
      <c r="B28" s="225"/>
      <c r="C28" s="225">
        <f>IFERROR(C25-C24,"")</f>
        <v>0</v>
      </c>
      <c r="D28" s="225">
        <f t="shared" ref="D28:W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0</v>
      </c>
      <c r="O28" s="225">
        <f t="shared" si="3"/>
        <v>0</v>
      </c>
      <c r="P28" s="225">
        <f t="shared" si="3"/>
        <v>0</v>
      </c>
      <c r="Q28" s="225">
        <f t="shared" si="3"/>
        <v>0</v>
      </c>
      <c r="R28" s="225">
        <f t="shared" si="3"/>
        <v>0</v>
      </c>
      <c r="S28" s="225">
        <f t="shared" si="3"/>
        <v>0</v>
      </c>
      <c r="T28" s="225">
        <f t="shared" si="3"/>
        <v>0</v>
      </c>
      <c r="U28" s="225">
        <f t="shared" si="3"/>
        <v>0</v>
      </c>
      <c r="V28" s="225">
        <f t="shared" si="3"/>
        <v>0</v>
      </c>
      <c r="W28" s="225">
        <f t="shared" si="3"/>
        <v>0</v>
      </c>
    </row>
    <row r="29" spans="1:23" ht="16.399999999999999" customHeight="1" x14ac:dyDescent="0.35">
      <c r="A29" s="65" t="s">
        <v>2</v>
      </c>
      <c r="B29" s="65"/>
      <c r="C29" s="65">
        <f>AVERAGE(C21,C28,C14)</f>
        <v>0</v>
      </c>
      <c r="D29" s="65">
        <f t="shared" ref="D29:W29" si="4">AVERAGE(D21,D28,D14)</f>
        <v>0</v>
      </c>
      <c r="E29" s="65">
        <f t="shared" si="4"/>
        <v>0</v>
      </c>
      <c r="F29" s="65">
        <f t="shared" si="4"/>
        <v>0</v>
      </c>
      <c r="G29" s="65">
        <f t="shared" si="4"/>
        <v>0</v>
      </c>
      <c r="H29" s="65">
        <f t="shared" si="4"/>
        <v>0</v>
      </c>
      <c r="I29" s="65">
        <f t="shared" si="4"/>
        <v>0</v>
      </c>
      <c r="J29" s="65">
        <f t="shared" si="4"/>
        <v>0</v>
      </c>
      <c r="K29" s="65">
        <f t="shared" si="4"/>
        <v>0</v>
      </c>
      <c r="L29" s="65">
        <f t="shared" si="4"/>
        <v>0</v>
      </c>
      <c r="M29" s="65">
        <f t="shared" si="4"/>
        <v>0</v>
      </c>
      <c r="N29" s="65">
        <f t="shared" si="4"/>
        <v>0</v>
      </c>
      <c r="O29" s="65">
        <f t="shared" si="4"/>
        <v>0</v>
      </c>
      <c r="P29" s="65">
        <f t="shared" si="4"/>
        <v>0</v>
      </c>
      <c r="Q29" s="65">
        <f t="shared" si="4"/>
        <v>0</v>
      </c>
      <c r="R29" s="65">
        <f t="shared" si="4"/>
        <v>0</v>
      </c>
      <c r="S29" s="65">
        <f t="shared" si="4"/>
        <v>0</v>
      </c>
      <c r="T29" s="65">
        <f t="shared" si="4"/>
        <v>0</v>
      </c>
      <c r="U29" s="65">
        <f t="shared" si="4"/>
        <v>0</v>
      </c>
      <c r="V29" s="65">
        <f t="shared" si="4"/>
        <v>0</v>
      </c>
      <c r="W29" s="65">
        <f t="shared" si="4"/>
        <v>0</v>
      </c>
    </row>
    <row r="30" spans="1:23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/>
      <c r="O30" s="152"/>
      <c r="P30" s="154"/>
      <c r="Q30" s="154"/>
      <c r="R30" s="154"/>
      <c r="S30" s="154"/>
      <c r="T30" s="154"/>
      <c r="U30" s="154"/>
      <c r="V30" s="154"/>
      <c r="W30" s="154"/>
    </row>
    <row r="31" spans="1:23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  <c r="W31" s="157"/>
    </row>
    <row r="32" spans="1:23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</row>
    <row r="33" spans="1:23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</row>
    <row r="34" spans="1:23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</row>
    <row r="35" spans="1:23" x14ac:dyDescent="0.35">
      <c r="A35" s="225" t="s">
        <v>167</v>
      </c>
      <c r="B35" s="225"/>
      <c r="C35" s="225">
        <f>IFERROR(C32-C31,"")</f>
        <v>0</v>
      </c>
      <c r="D35" s="225">
        <f t="shared" ref="D35:W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0</v>
      </c>
      <c r="P35" s="225">
        <f t="shared" si="5"/>
        <v>0</v>
      </c>
      <c r="Q35" s="225">
        <f t="shared" si="5"/>
        <v>0</v>
      </c>
      <c r="R35" s="225">
        <f t="shared" si="5"/>
        <v>0</v>
      </c>
      <c r="S35" s="225">
        <f t="shared" si="5"/>
        <v>0</v>
      </c>
      <c r="T35" s="225">
        <f t="shared" si="5"/>
        <v>0</v>
      </c>
      <c r="U35" s="225">
        <f t="shared" si="5"/>
        <v>0</v>
      </c>
      <c r="V35" s="225">
        <f t="shared" si="5"/>
        <v>0</v>
      </c>
      <c r="W35" s="225">
        <f t="shared" si="5"/>
        <v>0</v>
      </c>
    </row>
    <row r="36" spans="1:23" ht="16.399999999999999" customHeight="1" x14ac:dyDescent="0.35">
      <c r="A36" s="65" t="s">
        <v>2</v>
      </c>
      <c r="B36" s="65"/>
      <c r="C36" s="65">
        <f>AVERAGE(C28,C35,C21,C14)</f>
        <v>0</v>
      </c>
      <c r="D36" s="65">
        <f t="shared" ref="D36:W36" si="6">AVERAGE(D28,D35,D21,D14)</f>
        <v>0</v>
      </c>
      <c r="E36" s="65">
        <f t="shared" si="6"/>
        <v>0</v>
      </c>
      <c r="F36" s="65">
        <f t="shared" si="6"/>
        <v>0</v>
      </c>
      <c r="G36" s="65">
        <f t="shared" si="6"/>
        <v>0</v>
      </c>
      <c r="H36" s="65">
        <f t="shared" si="6"/>
        <v>0</v>
      </c>
      <c r="I36" s="65">
        <f t="shared" si="6"/>
        <v>0</v>
      </c>
      <c r="J36" s="65">
        <f t="shared" si="6"/>
        <v>0</v>
      </c>
      <c r="K36" s="65">
        <f t="shared" si="6"/>
        <v>0</v>
      </c>
      <c r="L36" s="65">
        <f t="shared" si="6"/>
        <v>0</v>
      </c>
      <c r="M36" s="65">
        <f t="shared" si="6"/>
        <v>0</v>
      </c>
      <c r="N36" s="65">
        <f t="shared" si="6"/>
        <v>0</v>
      </c>
      <c r="O36" s="65">
        <f t="shared" si="6"/>
        <v>0</v>
      </c>
      <c r="P36" s="65">
        <f t="shared" si="6"/>
        <v>0</v>
      </c>
      <c r="Q36" s="65">
        <f t="shared" si="6"/>
        <v>0</v>
      </c>
      <c r="R36" s="65">
        <f t="shared" si="6"/>
        <v>0</v>
      </c>
      <c r="S36" s="65">
        <f t="shared" si="6"/>
        <v>0</v>
      </c>
      <c r="T36" s="65">
        <f t="shared" si="6"/>
        <v>0</v>
      </c>
      <c r="U36" s="65">
        <f t="shared" si="6"/>
        <v>0</v>
      </c>
      <c r="V36" s="65">
        <f t="shared" si="6"/>
        <v>0</v>
      </c>
      <c r="W36" s="65">
        <f t="shared" si="6"/>
        <v>0</v>
      </c>
    </row>
    <row r="37" spans="1:23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52"/>
      <c r="P37" s="154"/>
      <c r="Q37" s="154"/>
      <c r="R37" s="154"/>
      <c r="S37" s="154"/>
      <c r="T37" s="154"/>
      <c r="U37" s="154"/>
      <c r="V37" s="154"/>
      <c r="W37" s="154"/>
    </row>
    <row r="38" spans="1:23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  <c r="W38" s="157"/>
    </row>
    <row r="39" spans="1:23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</row>
    <row r="40" spans="1:23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</row>
    <row r="41" spans="1:23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</row>
    <row r="42" spans="1:23" x14ac:dyDescent="0.35">
      <c r="A42" s="225" t="s">
        <v>167</v>
      </c>
      <c r="B42" s="225"/>
      <c r="C42" s="225">
        <f>IFERROR(C39-C38,"")</f>
        <v>0</v>
      </c>
      <c r="D42" s="225">
        <f t="shared" ref="D42:W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0</v>
      </c>
      <c r="P42" s="225">
        <f t="shared" si="7"/>
        <v>0</v>
      </c>
      <c r="Q42" s="225">
        <f t="shared" si="7"/>
        <v>0</v>
      </c>
      <c r="R42" s="225">
        <f t="shared" si="7"/>
        <v>0</v>
      </c>
      <c r="S42" s="225">
        <f t="shared" si="7"/>
        <v>0</v>
      </c>
      <c r="T42" s="225">
        <f t="shared" si="7"/>
        <v>0</v>
      </c>
      <c r="U42" s="225">
        <f t="shared" si="7"/>
        <v>0</v>
      </c>
      <c r="V42" s="225">
        <f t="shared" si="7"/>
        <v>0</v>
      </c>
      <c r="W42" s="225">
        <f t="shared" si="7"/>
        <v>0</v>
      </c>
    </row>
    <row r="43" spans="1:23" ht="16.399999999999999" customHeight="1" x14ac:dyDescent="0.35">
      <c r="A43" s="65" t="s">
        <v>2</v>
      </c>
      <c r="B43" s="65"/>
      <c r="C43" s="65">
        <f>AVERAGE(C35,C42,C28,C21,C14)</f>
        <v>0</v>
      </c>
      <c r="D43" s="65">
        <f t="shared" ref="D43:W43" si="8">AVERAGE(D35,D42,D28,D21,D14)</f>
        <v>0</v>
      </c>
      <c r="E43" s="65">
        <f t="shared" si="8"/>
        <v>0</v>
      </c>
      <c r="F43" s="65">
        <f t="shared" si="8"/>
        <v>0</v>
      </c>
      <c r="G43" s="65">
        <f t="shared" si="8"/>
        <v>0</v>
      </c>
      <c r="H43" s="65">
        <f t="shared" si="8"/>
        <v>0</v>
      </c>
      <c r="I43" s="65">
        <f t="shared" si="8"/>
        <v>0</v>
      </c>
      <c r="J43" s="65">
        <f t="shared" si="8"/>
        <v>0</v>
      </c>
      <c r="K43" s="65">
        <f t="shared" si="8"/>
        <v>0</v>
      </c>
      <c r="L43" s="65">
        <f t="shared" si="8"/>
        <v>0</v>
      </c>
      <c r="M43" s="65">
        <f t="shared" si="8"/>
        <v>0</v>
      </c>
      <c r="N43" s="65">
        <f t="shared" si="8"/>
        <v>0</v>
      </c>
      <c r="O43" s="65">
        <f t="shared" si="8"/>
        <v>0</v>
      </c>
      <c r="P43" s="65">
        <f t="shared" si="8"/>
        <v>0</v>
      </c>
      <c r="Q43" s="65">
        <f t="shared" si="8"/>
        <v>0</v>
      </c>
      <c r="R43" s="65">
        <f t="shared" si="8"/>
        <v>0</v>
      </c>
      <c r="S43" s="65">
        <f t="shared" si="8"/>
        <v>0</v>
      </c>
      <c r="T43" s="65">
        <f t="shared" si="8"/>
        <v>0</v>
      </c>
      <c r="U43" s="65">
        <f t="shared" si="8"/>
        <v>0</v>
      </c>
      <c r="V43" s="65">
        <f t="shared" si="8"/>
        <v>0</v>
      </c>
      <c r="W43" s="65">
        <f t="shared" si="8"/>
        <v>0</v>
      </c>
    </row>
    <row r="44" spans="1:23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/>
      <c r="P44" s="154"/>
      <c r="Q44" s="154"/>
      <c r="R44" s="154"/>
      <c r="S44" s="154"/>
      <c r="T44" s="154"/>
      <c r="U44" s="154"/>
      <c r="V44" s="154"/>
      <c r="W44" s="154"/>
    </row>
    <row r="45" spans="1:23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</row>
    <row r="46" spans="1:23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</row>
    <row r="47" spans="1:23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</row>
    <row r="48" spans="1:23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</row>
    <row r="49" spans="1:23" x14ac:dyDescent="0.35">
      <c r="A49" s="225" t="s">
        <v>167</v>
      </c>
      <c r="B49" s="225"/>
      <c r="C49" s="225">
        <f>IFERROR(C46-C45,"")</f>
        <v>0</v>
      </c>
      <c r="D49" s="225">
        <f t="shared" ref="D49:V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  <c r="V49" s="225">
        <f t="shared" si="9"/>
        <v>0</v>
      </c>
      <c r="W49" s="225">
        <f t="shared" ref="W49" si="10">IFERROR(W46-W45,"")</f>
        <v>0</v>
      </c>
    </row>
    <row r="50" spans="1:23" ht="16.399999999999999" customHeight="1" x14ac:dyDescent="0.35">
      <c r="A50" s="65" t="s">
        <v>2</v>
      </c>
      <c r="B50" s="65"/>
      <c r="C50" s="65">
        <f>AVERAGE(C42,C49,C35,C28,C21,C14)</f>
        <v>0</v>
      </c>
      <c r="D50" s="65">
        <f t="shared" ref="D50:W50" si="11">AVERAGE(D42,D49,D35,D28,D21,D14)</f>
        <v>0</v>
      </c>
      <c r="E50" s="65">
        <f t="shared" si="11"/>
        <v>0</v>
      </c>
      <c r="F50" s="65">
        <f t="shared" si="11"/>
        <v>0</v>
      </c>
      <c r="G50" s="65">
        <f t="shared" si="11"/>
        <v>0</v>
      </c>
      <c r="H50" s="65">
        <f t="shared" si="11"/>
        <v>0</v>
      </c>
      <c r="I50" s="65">
        <f t="shared" si="11"/>
        <v>0</v>
      </c>
      <c r="J50" s="65">
        <f t="shared" si="11"/>
        <v>0</v>
      </c>
      <c r="K50" s="65">
        <f t="shared" si="11"/>
        <v>0</v>
      </c>
      <c r="L50" s="65">
        <f t="shared" si="11"/>
        <v>0</v>
      </c>
      <c r="M50" s="65">
        <f t="shared" si="11"/>
        <v>0</v>
      </c>
      <c r="N50" s="65">
        <f t="shared" si="11"/>
        <v>0</v>
      </c>
      <c r="O50" s="65">
        <f t="shared" si="11"/>
        <v>0</v>
      </c>
      <c r="P50" s="65">
        <f t="shared" si="11"/>
        <v>0</v>
      </c>
      <c r="Q50" s="65">
        <f t="shared" si="11"/>
        <v>0</v>
      </c>
      <c r="R50" s="65">
        <f t="shared" si="11"/>
        <v>0</v>
      </c>
      <c r="S50" s="65">
        <f t="shared" si="11"/>
        <v>0</v>
      </c>
      <c r="T50" s="65">
        <f t="shared" si="11"/>
        <v>0</v>
      </c>
      <c r="U50" s="65">
        <f t="shared" si="11"/>
        <v>0</v>
      </c>
      <c r="V50" s="65">
        <f t="shared" si="11"/>
        <v>0</v>
      </c>
      <c r="W50" s="65">
        <f t="shared" si="11"/>
        <v>0</v>
      </c>
    </row>
    <row r="51" spans="1:23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/>
      <c r="P51" s="154"/>
      <c r="Q51" s="154"/>
      <c r="R51" s="154"/>
      <c r="S51" s="154"/>
      <c r="T51" s="154"/>
      <c r="U51" s="154"/>
      <c r="V51" s="154"/>
      <c r="W51" s="154"/>
    </row>
    <row r="52" spans="1:23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</row>
    <row r="53" spans="1:23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</row>
    <row r="54" spans="1:23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</row>
    <row r="55" spans="1:23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</row>
    <row r="56" spans="1:23" x14ac:dyDescent="0.35">
      <c r="A56" s="225" t="s">
        <v>167</v>
      </c>
      <c r="B56" s="225"/>
      <c r="C56" s="225">
        <f>IFERROR(C53-C52,"")</f>
        <v>0</v>
      </c>
      <c r="D56" s="225">
        <f t="shared" ref="D56:V56" si="12">IFERROR(D53-D52,"")</f>
        <v>0</v>
      </c>
      <c r="E56" s="225">
        <f t="shared" si="12"/>
        <v>0</v>
      </c>
      <c r="F56" s="225">
        <f t="shared" si="12"/>
        <v>0</v>
      </c>
      <c r="G56" s="225">
        <f t="shared" si="12"/>
        <v>0</v>
      </c>
      <c r="H56" s="225">
        <f t="shared" si="12"/>
        <v>0</v>
      </c>
      <c r="I56" s="225">
        <f t="shared" si="12"/>
        <v>0</v>
      </c>
      <c r="J56" s="225">
        <f t="shared" si="12"/>
        <v>0</v>
      </c>
      <c r="K56" s="225">
        <f t="shared" si="12"/>
        <v>0</v>
      </c>
      <c r="L56" s="225">
        <f t="shared" si="12"/>
        <v>0</v>
      </c>
      <c r="M56" s="225">
        <f t="shared" si="12"/>
        <v>0</v>
      </c>
      <c r="N56" s="225">
        <f t="shared" si="12"/>
        <v>0</v>
      </c>
      <c r="O56" s="225">
        <f t="shared" si="12"/>
        <v>0</v>
      </c>
      <c r="P56" s="225">
        <f t="shared" si="12"/>
        <v>0</v>
      </c>
      <c r="Q56" s="225">
        <f t="shared" si="12"/>
        <v>0</v>
      </c>
      <c r="R56" s="225">
        <f t="shared" si="12"/>
        <v>0</v>
      </c>
      <c r="S56" s="225">
        <f t="shared" si="12"/>
        <v>0</v>
      </c>
      <c r="T56" s="225">
        <f t="shared" si="12"/>
        <v>0</v>
      </c>
      <c r="U56" s="225">
        <f t="shared" si="12"/>
        <v>0</v>
      </c>
      <c r="V56" s="225">
        <f t="shared" si="12"/>
        <v>0</v>
      </c>
      <c r="W56" s="225">
        <f t="shared" ref="W56" si="13">IFERROR(W53-W52,"")</f>
        <v>0</v>
      </c>
    </row>
    <row r="57" spans="1:23" ht="16.399999999999999" customHeight="1" x14ac:dyDescent="0.35">
      <c r="A57" s="65" t="s">
        <v>2</v>
      </c>
      <c r="B57" s="65"/>
      <c r="C57" s="65">
        <f>AVERAGE(C49,C56,C42,C35,C28,C21,C14)</f>
        <v>0</v>
      </c>
      <c r="D57" s="65">
        <f t="shared" ref="D57:W57" si="14">AVERAGE(D49,D56,D42,D35,D28,D21,D14)</f>
        <v>0</v>
      </c>
      <c r="E57" s="65">
        <f t="shared" si="14"/>
        <v>0</v>
      </c>
      <c r="F57" s="65">
        <f t="shared" si="14"/>
        <v>0</v>
      </c>
      <c r="G57" s="65">
        <f t="shared" si="14"/>
        <v>0</v>
      </c>
      <c r="H57" s="65">
        <f t="shared" si="14"/>
        <v>0</v>
      </c>
      <c r="I57" s="65">
        <f t="shared" si="14"/>
        <v>0</v>
      </c>
      <c r="J57" s="65">
        <f t="shared" si="14"/>
        <v>0</v>
      </c>
      <c r="K57" s="65">
        <f t="shared" si="14"/>
        <v>0</v>
      </c>
      <c r="L57" s="65">
        <f t="shared" si="14"/>
        <v>0</v>
      </c>
      <c r="M57" s="65">
        <f t="shared" si="14"/>
        <v>0</v>
      </c>
      <c r="N57" s="65">
        <f t="shared" si="14"/>
        <v>0</v>
      </c>
      <c r="O57" s="65">
        <f t="shared" si="14"/>
        <v>0</v>
      </c>
      <c r="P57" s="65">
        <f t="shared" si="14"/>
        <v>0</v>
      </c>
      <c r="Q57" s="65">
        <f t="shared" si="14"/>
        <v>0</v>
      </c>
      <c r="R57" s="65">
        <f t="shared" si="14"/>
        <v>0</v>
      </c>
      <c r="S57" s="65">
        <f t="shared" si="14"/>
        <v>0</v>
      </c>
      <c r="T57" s="65">
        <f t="shared" si="14"/>
        <v>0</v>
      </c>
      <c r="U57" s="65">
        <f t="shared" si="14"/>
        <v>0</v>
      </c>
      <c r="V57" s="65">
        <f t="shared" si="14"/>
        <v>0</v>
      </c>
      <c r="W57" s="65">
        <f t="shared" si="14"/>
        <v>0</v>
      </c>
    </row>
    <row r="58" spans="1:23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/>
      <c r="P58" s="154"/>
      <c r="Q58" s="154"/>
      <c r="R58" s="154"/>
      <c r="S58" s="154"/>
      <c r="T58" s="154"/>
      <c r="U58" s="154"/>
      <c r="V58" s="154"/>
      <c r="W58" s="154"/>
    </row>
    <row r="59" spans="1:23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</row>
    <row r="60" spans="1:23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</row>
    <row r="61" spans="1:23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</row>
    <row r="62" spans="1:23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</row>
    <row r="63" spans="1:23" x14ac:dyDescent="0.35">
      <c r="A63" s="225" t="s">
        <v>167</v>
      </c>
      <c r="B63" s="225"/>
      <c r="C63" s="225">
        <f>IFERROR(C60-C59,"")</f>
        <v>0</v>
      </c>
      <c r="D63" s="225">
        <f t="shared" ref="D63:V63" si="15">IFERROR(D60-D59,"")</f>
        <v>0</v>
      </c>
      <c r="E63" s="225">
        <f t="shared" si="15"/>
        <v>0</v>
      </c>
      <c r="F63" s="225">
        <f t="shared" si="15"/>
        <v>0</v>
      </c>
      <c r="G63" s="225">
        <f t="shared" si="15"/>
        <v>0</v>
      </c>
      <c r="H63" s="225">
        <f t="shared" si="15"/>
        <v>0</v>
      </c>
      <c r="I63" s="225">
        <f t="shared" si="15"/>
        <v>0</v>
      </c>
      <c r="J63" s="225">
        <f t="shared" si="15"/>
        <v>0</v>
      </c>
      <c r="K63" s="225">
        <f t="shared" si="15"/>
        <v>0</v>
      </c>
      <c r="L63" s="225">
        <f t="shared" si="15"/>
        <v>0</v>
      </c>
      <c r="M63" s="225">
        <f t="shared" si="15"/>
        <v>0</v>
      </c>
      <c r="N63" s="225">
        <f t="shared" si="15"/>
        <v>0</v>
      </c>
      <c r="O63" s="225">
        <f t="shared" si="15"/>
        <v>0</v>
      </c>
      <c r="P63" s="225">
        <f t="shared" si="15"/>
        <v>0</v>
      </c>
      <c r="Q63" s="225">
        <f t="shared" si="15"/>
        <v>0</v>
      </c>
      <c r="R63" s="225">
        <f t="shared" si="15"/>
        <v>0</v>
      </c>
      <c r="S63" s="225">
        <f t="shared" si="15"/>
        <v>0</v>
      </c>
      <c r="T63" s="225">
        <f t="shared" si="15"/>
        <v>0</v>
      </c>
      <c r="U63" s="225">
        <f t="shared" si="15"/>
        <v>0</v>
      </c>
      <c r="V63" s="225">
        <f t="shared" si="15"/>
        <v>0</v>
      </c>
      <c r="W63" s="225">
        <f t="shared" ref="W63" si="16">IFERROR(W60-W59,"")</f>
        <v>0</v>
      </c>
    </row>
    <row r="64" spans="1:23" ht="16.399999999999999" customHeight="1" x14ac:dyDescent="0.35">
      <c r="A64" s="65" t="s">
        <v>2</v>
      </c>
      <c r="B64" s="65"/>
      <c r="C64" s="65">
        <f>AVERAGE(C56,C63,C49,C42,C35,C28,C21,C14)</f>
        <v>0</v>
      </c>
      <c r="D64" s="65">
        <f t="shared" ref="D64:W64" si="17">AVERAGE(D56,D63,D49,D42,D35,D28,D21,D14)</f>
        <v>0</v>
      </c>
      <c r="E64" s="65">
        <f t="shared" si="17"/>
        <v>0</v>
      </c>
      <c r="F64" s="65">
        <f t="shared" si="17"/>
        <v>0</v>
      </c>
      <c r="G64" s="65">
        <f t="shared" si="17"/>
        <v>0</v>
      </c>
      <c r="H64" s="65">
        <f t="shared" si="17"/>
        <v>0</v>
      </c>
      <c r="I64" s="65">
        <f t="shared" si="17"/>
        <v>0</v>
      </c>
      <c r="J64" s="65">
        <f t="shared" si="17"/>
        <v>0</v>
      </c>
      <c r="K64" s="65">
        <f t="shared" si="17"/>
        <v>0</v>
      </c>
      <c r="L64" s="65">
        <f t="shared" si="17"/>
        <v>0</v>
      </c>
      <c r="M64" s="65">
        <f t="shared" si="17"/>
        <v>0</v>
      </c>
      <c r="N64" s="65">
        <f t="shared" si="17"/>
        <v>0</v>
      </c>
      <c r="O64" s="65">
        <f t="shared" si="17"/>
        <v>0</v>
      </c>
      <c r="P64" s="65">
        <f t="shared" si="17"/>
        <v>0</v>
      </c>
      <c r="Q64" s="65">
        <f t="shared" si="17"/>
        <v>0</v>
      </c>
      <c r="R64" s="65">
        <f t="shared" si="17"/>
        <v>0</v>
      </c>
      <c r="S64" s="65">
        <f t="shared" si="17"/>
        <v>0</v>
      </c>
      <c r="T64" s="65">
        <f t="shared" si="17"/>
        <v>0</v>
      </c>
      <c r="U64" s="65">
        <f t="shared" si="17"/>
        <v>0</v>
      </c>
      <c r="V64" s="65">
        <f t="shared" si="17"/>
        <v>0</v>
      </c>
      <c r="W64" s="65">
        <f t="shared" si="17"/>
        <v>0</v>
      </c>
    </row>
  </sheetData>
  <sheetProtection algorithmName="SHA-512" hashValue="1LcmG3DFG7TzjGpOMBgNSgvi0h6H8/dnRydpZ8E/MffLbgMtM5w3tGw+gE+rbZjUFzR3jrbGXPWst8F+U4md8g==" saltValue="eJRSzoKTwIRZALRWFOQPzw==" spinCount="100000" sheet="1" objects="1" scenarios="1"/>
  <autoFilter ref="A2:W64" xr:uid="{00000000-0009-0000-0000-000003000000}"/>
  <mergeCells count="2">
    <mergeCell ref="A7:B7"/>
    <mergeCell ref="A8:B8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P64"/>
  <sheetViews>
    <sheetView workbookViewId="0">
      <selection activeCell="C11" sqref="C11"/>
    </sheetView>
  </sheetViews>
  <sheetFormatPr defaultColWidth="8.81640625" defaultRowHeight="14.5" x14ac:dyDescent="0.35"/>
  <cols>
    <col min="1" max="1" width="16.81640625" customWidth="1"/>
    <col min="2" max="2" width="5.1796875" customWidth="1"/>
    <col min="3" max="3" width="21.54296875" bestFit="1" customWidth="1"/>
    <col min="4" max="4" width="18.1796875" customWidth="1"/>
    <col min="5" max="5" width="2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0" width="18.54296875" customWidth="1"/>
    <col min="11" max="11" width="18.81640625" customWidth="1"/>
    <col min="12" max="12" width="17.1796875" bestFit="1" customWidth="1"/>
    <col min="13" max="13" width="19.453125" customWidth="1"/>
    <col min="14" max="14" width="16.81640625" customWidth="1"/>
    <col min="15" max="15" width="18.54296875" customWidth="1"/>
    <col min="16" max="16" width="17.1796875" bestFit="1" customWidth="1"/>
  </cols>
  <sheetData>
    <row r="1" spans="1:16" ht="15" thickBot="1" x14ac:dyDescent="0.4"/>
    <row r="2" spans="1:16" x14ac:dyDescent="0.35">
      <c r="E2" s="130" t="s">
        <v>195</v>
      </c>
      <c r="F2" s="131"/>
      <c r="G2" s="131" t="s">
        <v>104</v>
      </c>
      <c r="H2" s="131"/>
      <c r="I2" s="132"/>
    </row>
    <row r="3" spans="1:16" x14ac:dyDescent="0.35">
      <c r="E3" s="133"/>
      <c r="F3" s="134" t="s">
        <v>196</v>
      </c>
      <c r="G3" s="135"/>
      <c r="H3" s="134"/>
      <c r="I3" s="136"/>
    </row>
    <row r="4" spans="1:16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16" ht="30.65" customHeight="1" x14ac:dyDescent="0.35">
      <c r="A5" s="141" t="s">
        <v>198</v>
      </c>
      <c r="B5" t="s">
        <v>199</v>
      </c>
    </row>
    <row r="6" spans="1:16" ht="28.4" customHeight="1" x14ac:dyDescent="0.35">
      <c r="A6" s="142" t="s">
        <v>200</v>
      </c>
      <c r="B6" s="169"/>
      <c r="C6" s="142" t="s">
        <v>201</v>
      </c>
      <c r="D6" s="142" t="s">
        <v>202</v>
      </c>
      <c r="E6" s="142" t="s">
        <v>203</v>
      </c>
      <c r="F6" s="142" t="s">
        <v>204</v>
      </c>
      <c r="G6" s="143" t="s">
        <v>205</v>
      </c>
      <c r="H6" s="143" t="s">
        <v>206</v>
      </c>
      <c r="I6" s="143" t="s">
        <v>207</v>
      </c>
      <c r="J6" s="142" t="s">
        <v>208</v>
      </c>
      <c r="K6" s="142" t="s">
        <v>209</v>
      </c>
      <c r="L6" s="142" t="s">
        <v>186</v>
      </c>
      <c r="M6" s="142" t="s">
        <v>210</v>
      </c>
      <c r="N6" s="142" t="s">
        <v>211</v>
      </c>
      <c r="O6" s="142" t="s">
        <v>212</v>
      </c>
      <c r="P6" s="144" t="s">
        <v>213</v>
      </c>
    </row>
    <row r="7" spans="1:16" x14ac:dyDescent="0.35">
      <c r="A7" s="252" t="s">
        <v>137</v>
      </c>
      <c r="B7" s="252"/>
      <c r="C7" s="145" t="s">
        <v>140</v>
      </c>
      <c r="D7" s="145" t="s">
        <v>141</v>
      </c>
      <c r="E7" s="145" t="s">
        <v>214</v>
      </c>
      <c r="F7" s="145" t="s">
        <v>215</v>
      </c>
      <c r="G7" s="145" t="s">
        <v>142</v>
      </c>
      <c r="H7" s="145" t="s">
        <v>143</v>
      </c>
      <c r="I7" s="145" t="s">
        <v>144</v>
      </c>
      <c r="J7" s="145" t="s">
        <v>145</v>
      </c>
      <c r="K7" s="145" t="s">
        <v>148</v>
      </c>
      <c r="L7" s="145" t="s">
        <v>216</v>
      </c>
      <c r="M7" s="145" t="s">
        <v>151</v>
      </c>
      <c r="N7" s="145" t="s">
        <v>217</v>
      </c>
      <c r="O7" s="145" t="s">
        <v>218</v>
      </c>
      <c r="P7" s="145" t="s">
        <v>219</v>
      </c>
    </row>
    <row r="8" spans="1:16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2</v>
      </c>
      <c r="K8" s="147">
        <v>1</v>
      </c>
      <c r="L8" s="147">
        <v>1</v>
      </c>
      <c r="M8" s="147">
        <v>1</v>
      </c>
      <c r="N8" s="147">
        <v>1</v>
      </c>
      <c r="O8" s="147">
        <v>4</v>
      </c>
      <c r="P8" s="147">
        <v>1</v>
      </c>
    </row>
    <row r="9" spans="1:16" x14ac:dyDescent="0.35">
      <c r="A9" s="150" t="s">
        <v>159</v>
      </c>
      <c r="B9" s="151"/>
      <c r="C9" s="152"/>
      <c r="D9" s="152"/>
      <c r="E9" s="152"/>
      <c r="F9" s="152"/>
      <c r="G9" s="152"/>
      <c r="H9" s="152"/>
      <c r="I9" s="152"/>
      <c r="J9" s="152"/>
      <c r="K9" s="154"/>
      <c r="L9" s="152"/>
      <c r="M9" s="152"/>
      <c r="N9" s="152"/>
      <c r="O9" s="152"/>
      <c r="P9" s="152"/>
    </row>
    <row r="10" spans="1:16" x14ac:dyDescent="0.35">
      <c r="A10" s="155" t="s">
        <v>161</v>
      </c>
      <c r="B10" s="156" t="s">
        <v>162</v>
      </c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</row>
    <row r="11" spans="1:16" x14ac:dyDescent="0.35">
      <c r="A11" s="155" t="s">
        <v>161</v>
      </c>
      <c r="B11" s="156" t="s">
        <v>163</v>
      </c>
      <c r="C11" s="157"/>
      <c r="D11" s="157"/>
      <c r="E11" s="157"/>
      <c r="F11" s="157"/>
      <c r="G11" s="157"/>
      <c r="H11" s="157"/>
      <c r="I11" s="157">
        <v>20044</v>
      </c>
      <c r="J11" s="157"/>
      <c r="K11" s="157">
        <v>20044</v>
      </c>
      <c r="L11" s="157">
        <v>20044</v>
      </c>
      <c r="M11" s="157"/>
      <c r="N11" s="157"/>
      <c r="O11" s="157"/>
      <c r="P11" s="157"/>
    </row>
    <row r="12" spans="1:16" x14ac:dyDescent="0.35">
      <c r="A12" s="155" t="s">
        <v>164</v>
      </c>
      <c r="B12" s="156"/>
      <c r="C12" s="157"/>
      <c r="D12" s="157"/>
      <c r="E12" s="157"/>
      <c r="F12" s="157"/>
      <c r="G12" s="157"/>
      <c r="H12" s="157"/>
      <c r="I12" s="157" t="s">
        <v>220</v>
      </c>
      <c r="J12" s="166"/>
      <c r="K12" s="157" t="s">
        <v>220</v>
      </c>
      <c r="L12" s="157" t="s">
        <v>220</v>
      </c>
      <c r="M12" s="157"/>
      <c r="N12" s="157"/>
      <c r="O12" s="157"/>
      <c r="P12" s="157"/>
    </row>
    <row r="13" spans="1:16" x14ac:dyDescent="0.35">
      <c r="A13" s="160" t="s">
        <v>165</v>
      </c>
      <c r="B13" s="161"/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</row>
    <row r="14" spans="1:16" x14ac:dyDescent="0.35">
      <c r="A14" s="225" t="s">
        <v>167</v>
      </c>
      <c r="B14" s="225"/>
      <c r="C14" s="225">
        <f>IFERROR(C11-C10,"")</f>
        <v>0</v>
      </c>
      <c r="D14" s="225">
        <f t="shared" ref="D14:P14" si="0">IFERROR(D11-D10,"")</f>
        <v>0</v>
      </c>
      <c r="E14" s="225">
        <f t="shared" si="0"/>
        <v>0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20044</v>
      </c>
      <c r="J14" s="225">
        <f t="shared" si="0"/>
        <v>0</v>
      </c>
      <c r="K14" s="225">
        <f t="shared" si="0"/>
        <v>20044</v>
      </c>
      <c r="L14" s="225">
        <f t="shared" si="0"/>
        <v>20044</v>
      </c>
      <c r="M14" s="225">
        <f t="shared" si="0"/>
        <v>0</v>
      </c>
      <c r="N14" s="225">
        <f t="shared" si="0"/>
        <v>0</v>
      </c>
      <c r="O14" s="225">
        <f t="shared" si="0"/>
        <v>0</v>
      </c>
      <c r="P14" s="225">
        <f t="shared" si="0"/>
        <v>0</v>
      </c>
    </row>
    <row r="15" spans="1:16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</row>
    <row r="16" spans="1:16" x14ac:dyDescent="0.35">
      <c r="A16" s="150" t="s">
        <v>159</v>
      </c>
      <c r="B16" s="151"/>
      <c r="C16" s="163"/>
      <c r="D16" s="154"/>
      <c r="E16" s="154"/>
      <c r="F16" s="154"/>
      <c r="G16" s="154"/>
      <c r="H16" s="154"/>
      <c r="I16" s="154"/>
      <c r="J16" s="152"/>
      <c r="K16" s="154"/>
      <c r="L16" s="154"/>
      <c r="M16" s="154"/>
      <c r="N16" s="152"/>
      <c r="O16" s="152"/>
      <c r="P16" s="154"/>
    </row>
    <row r="17" spans="1:16" x14ac:dyDescent="0.35">
      <c r="A17" s="155" t="s">
        <v>161</v>
      </c>
      <c r="B17" s="156" t="s">
        <v>162</v>
      </c>
      <c r="C17" s="165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</row>
    <row r="18" spans="1:16" x14ac:dyDescent="0.35">
      <c r="A18" s="155" t="s">
        <v>161</v>
      </c>
      <c r="B18" s="156" t="s">
        <v>163</v>
      </c>
      <c r="C18" s="165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</row>
    <row r="19" spans="1:16" x14ac:dyDescent="0.35">
      <c r="A19" s="155" t="s">
        <v>164</v>
      </c>
      <c r="B19" s="156"/>
      <c r="C19" s="165"/>
      <c r="D19" s="157"/>
      <c r="E19" s="157"/>
      <c r="F19" s="157"/>
      <c r="G19" s="157"/>
      <c r="H19" s="157"/>
      <c r="I19" s="157"/>
      <c r="J19" s="166"/>
      <c r="K19" s="157"/>
      <c r="L19" s="157"/>
      <c r="M19" s="157"/>
      <c r="N19" s="157"/>
      <c r="O19" s="157"/>
      <c r="P19" s="157"/>
    </row>
    <row r="20" spans="1:16" x14ac:dyDescent="0.35">
      <c r="A20" s="160" t="s">
        <v>165</v>
      </c>
      <c r="B20" s="167"/>
      <c r="C20" s="165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</row>
    <row r="21" spans="1:16" x14ac:dyDescent="0.35">
      <c r="A21" s="225" t="s">
        <v>167</v>
      </c>
      <c r="B21" s="225"/>
      <c r="C21" s="225">
        <f>IFERROR(C18-C17,"")</f>
        <v>0</v>
      </c>
      <c r="D21" s="225">
        <f t="shared" ref="D21:P21" si="1">IFERROR(D18-D17,"")</f>
        <v>0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0</v>
      </c>
      <c r="J21" s="225">
        <f t="shared" si="1"/>
        <v>0</v>
      </c>
      <c r="K21" s="225">
        <f t="shared" si="1"/>
        <v>0</v>
      </c>
      <c r="L21" s="225">
        <f t="shared" si="1"/>
        <v>0</v>
      </c>
      <c r="M21" s="225">
        <f t="shared" si="1"/>
        <v>0</v>
      </c>
      <c r="N21" s="225">
        <f t="shared" si="1"/>
        <v>0</v>
      </c>
      <c r="O21" s="225">
        <f t="shared" si="1"/>
        <v>0</v>
      </c>
      <c r="P21" s="225">
        <f t="shared" si="1"/>
        <v>0</v>
      </c>
    </row>
    <row r="22" spans="1:16" ht="16.399999999999999" customHeight="1" x14ac:dyDescent="0.35">
      <c r="A22" s="65" t="s">
        <v>2</v>
      </c>
      <c r="B22" s="65"/>
      <c r="C22" s="65">
        <f>AVERAGE(C14,C21)</f>
        <v>0</v>
      </c>
      <c r="D22" s="65">
        <f t="shared" ref="D22:P22" si="2">AVERAGE(D14,D21)</f>
        <v>0</v>
      </c>
      <c r="E22" s="65">
        <f t="shared" si="2"/>
        <v>0</v>
      </c>
      <c r="F22" s="65">
        <f t="shared" si="2"/>
        <v>0</v>
      </c>
      <c r="G22" s="65">
        <f t="shared" si="2"/>
        <v>0</v>
      </c>
      <c r="H22" s="65">
        <f t="shared" si="2"/>
        <v>0</v>
      </c>
      <c r="I22" s="65">
        <f t="shared" si="2"/>
        <v>10022</v>
      </c>
      <c r="J22" s="65">
        <f t="shared" si="2"/>
        <v>0</v>
      </c>
      <c r="K22" s="65">
        <f t="shared" si="2"/>
        <v>10022</v>
      </c>
      <c r="L22" s="65">
        <f t="shared" si="2"/>
        <v>10022</v>
      </c>
      <c r="M22" s="65">
        <f t="shared" si="2"/>
        <v>0</v>
      </c>
      <c r="N22" s="65">
        <f t="shared" si="2"/>
        <v>0</v>
      </c>
      <c r="O22" s="65">
        <f t="shared" si="2"/>
        <v>0</v>
      </c>
      <c r="P22" s="65">
        <f t="shared" si="2"/>
        <v>0</v>
      </c>
    </row>
    <row r="23" spans="1:16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2"/>
      <c r="O23" s="152"/>
      <c r="P23" s="154"/>
    </row>
    <row r="24" spans="1:16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</row>
    <row r="25" spans="1:16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</row>
    <row r="26" spans="1:16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/>
      <c r="O26" s="157"/>
      <c r="P26" s="157"/>
    </row>
    <row r="27" spans="1:16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</row>
    <row r="28" spans="1:16" x14ac:dyDescent="0.35">
      <c r="A28" s="225" t="s">
        <v>167</v>
      </c>
      <c r="B28" s="225"/>
      <c r="C28" s="225">
        <f>IFERROR(C25-C24,"")</f>
        <v>0</v>
      </c>
      <c r="D28" s="225">
        <f t="shared" ref="D28:P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0</v>
      </c>
      <c r="O28" s="225">
        <f t="shared" si="3"/>
        <v>0</v>
      </c>
      <c r="P28" s="225">
        <f t="shared" si="3"/>
        <v>0</v>
      </c>
    </row>
    <row r="29" spans="1:16" ht="16.399999999999999" customHeight="1" x14ac:dyDescent="0.35">
      <c r="A29" s="65" t="s">
        <v>2</v>
      </c>
      <c r="B29" s="65"/>
      <c r="C29" s="65">
        <f>AVERAGE(C21,C28,C14)</f>
        <v>0</v>
      </c>
      <c r="D29" s="65">
        <f t="shared" ref="D29:P29" si="4">AVERAGE(D21,D28,D14)</f>
        <v>0</v>
      </c>
      <c r="E29" s="65">
        <f t="shared" si="4"/>
        <v>0</v>
      </c>
      <c r="F29" s="65">
        <f t="shared" si="4"/>
        <v>0</v>
      </c>
      <c r="G29" s="65">
        <f t="shared" si="4"/>
        <v>0</v>
      </c>
      <c r="H29" s="65">
        <f t="shared" si="4"/>
        <v>0</v>
      </c>
      <c r="I29" s="65">
        <f t="shared" si="4"/>
        <v>6681.333333333333</v>
      </c>
      <c r="J29" s="65">
        <f t="shared" si="4"/>
        <v>0</v>
      </c>
      <c r="K29" s="65">
        <f t="shared" si="4"/>
        <v>6681.333333333333</v>
      </c>
      <c r="L29" s="65">
        <f t="shared" si="4"/>
        <v>6681.333333333333</v>
      </c>
      <c r="M29" s="65">
        <f t="shared" si="4"/>
        <v>0</v>
      </c>
      <c r="N29" s="65">
        <f t="shared" si="4"/>
        <v>0</v>
      </c>
      <c r="O29" s="65">
        <f t="shared" si="4"/>
        <v>0</v>
      </c>
      <c r="P29" s="65">
        <f t="shared" si="4"/>
        <v>0</v>
      </c>
    </row>
    <row r="30" spans="1:16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/>
      <c r="O30" s="152"/>
      <c r="P30" s="154"/>
    </row>
    <row r="31" spans="1:16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</row>
    <row r="32" spans="1:16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</row>
    <row r="33" spans="1:16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57"/>
    </row>
    <row r="34" spans="1:16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</row>
    <row r="35" spans="1:16" x14ac:dyDescent="0.35">
      <c r="A35" s="225" t="s">
        <v>167</v>
      </c>
      <c r="B35" s="225"/>
      <c r="C35" s="225">
        <f>IFERROR(C32-C31,"")</f>
        <v>0</v>
      </c>
      <c r="D35" s="225">
        <f t="shared" ref="D35:P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0</v>
      </c>
      <c r="P35" s="225">
        <f t="shared" si="5"/>
        <v>0</v>
      </c>
    </row>
    <row r="36" spans="1:16" ht="16.399999999999999" customHeight="1" x14ac:dyDescent="0.35">
      <c r="A36" s="65" t="s">
        <v>2</v>
      </c>
      <c r="B36" s="65"/>
      <c r="C36" s="65">
        <f>AVERAGE(C28,C35,C21,C14)</f>
        <v>0</v>
      </c>
      <c r="D36" s="65">
        <f t="shared" ref="D36:P36" si="6">AVERAGE(D28,D35,D21,D14)</f>
        <v>0</v>
      </c>
      <c r="E36" s="65">
        <f t="shared" si="6"/>
        <v>0</v>
      </c>
      <c r="F36" s="65">
        <f t="shared" si="6"/>
        <v>0</v>
      </c>
      <c r="G36" s="65">
        <f t="shared" si="6"/>
        <v>0</v>
      </c>
      <c r="H36" s="65">
        <f t="shared" si="6"/>
        <v>0</v>
      </c>
      <c r="I36" s="65">
        <f t="shared" si="6"/>
        <v>5011</v>
      </c>
      <c r="J36" s="65">
        <f t="shared" si="6"/>
        <v>0</v>
      </c>
      <c r="K36" s="65">
        <f t="shared" si="6"/>
        <v>5011</v>
      </c>
      <c r="L36" s="65">
        <f t="shared" si="6"/>
        <v>5011</v>
      </c>
      <c r="M36" s="65">
        <f t="shared" si="6"/>
        <v>0</v>
      </c>
      <c r="N36" s="65">
        <f t="shared" si="6"/>
        <v>0</v>
      </c>
      <c r="O36" s="65">
        <f t="shared" si="6"/>
        <v>0</v>
      </c>
      <c r="P36" s="65">
        <f t="shared" si="6"/>
        <v>0</v>
      </c>
    </row>
    <row r="37" spans="1:16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52"/>
      <c r="P37" s="154"/>
    </row>
    <row r="38" spans="1:16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</row>
    <row r="39" spans="1:16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</row>
    <row r="40" spans="1:16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</row>
    <row r="41" spans="1:16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</row>
    <row r="42" spans="1:16" x14ac:dyDescent="0.35">
      <c r="A42" s="225" t="s">
        <v>167</v>
      </c>
      <c r="B42" s="225"/>
      <c r="C42" s="225">
        <f>IFERROR(C39-C38,"")</f>
        <v>0</v>
      </c>
      <c r="D42" s="225">
        <f t="shared" ref="D42:P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0</v>
      </c>
      <c r="P42" s="225">
        <f t="shared" si="7"/>
        <v>0</v>
      </c>
    </row>
    <row r="43" spans="1:16" ht="16.399999999999999" customHeight="1" x14ac:dyDescent="0.35">
      <c r="A43" s="65" t="s">
        <v>2</v>
      </c>
      <c r="B43" s="65"/>
      <c r="C43" s="65">
        <f>AVERAGE(C35,C42,C28,C21,C14)</f>
        <v>0</v>
      </c>
      <c r="D43" s="65">
        <f t="shared" ref="D43:P43" si="8">AVERAGE(D35,D42,D28,D21,D14)</f>
        <v>0</v>
      </c>
      <c r="E43" s="65">
        <f t="shared" si="8"/>
        <v>0</v>
      </c>
      <c r="F43" s="65">
        <f t="shared" si="8"/>
        <v>0</v>
      </c>
      <c r="G43" s="65">
        <f t="shared" si="8"/>
        <v>0</v>
      </c>
      <c r="H43" s="65">
        <f t="shared" si="8"/>
        <v>0</v>
      </c>
      <c r="I43" s="65">
        <f t="shared" si="8"/>
        <v>4008.8</v>
      </c>
      <c r="J43" s="65">
        <f t="shared" si="8"/>
        <v>0</v>
      </c>
      <c r="K43" s="65">
        <f t="shared" si="8"/>
        <v>4008.8</v>
      </c>
      <c r="L43" s="65">
        <f t="shared" si="8"/>
        <v>4008.8</v>
      </c>
      <c r="M43" s="65">
        <f t="shared" si="8"/>
        <v>0</v>
      </c>
      <c r="N43" s="65">
        <f t="shared" si="8"/>
        <v>0</v>
      </c>
      <c r="O43" s="65">
        <f t="shared" si="8"/>
        <v>0</v>
      </c>
      <c r="P43" s="65">
        <f t="shared" si="8"/>
        <v>0</v>
      </c>
    </row>
    <row r="44" spans="1:16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/>
      <c r="P44" s="154"/>
    </row>
    <row r="45" spans="1:16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</row>
    <row r="46" spans="1:16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</row>
    <row r="47" spans="1:16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</row>
    <row r="48" spans="1:16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</row>
    <row r="49" spans="1:16" x14ac:dyDescent="0.35">
      <c r="A49" s="225" t="s">
        <v>167</v>
      </c>
      <c r="B49" s="225"/>
      <c r="C49" s="225">
        <f>IFERROR(C46-C45,"")</f>
        <v>0</v>
      </c>
      <c r="D49" s="225">
        <f t="shared" ref="D49:P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</row>
    <row r="50" spans="1:16" ht="16.399999999999999" customHeight="1" x14ac:dyDescent="0.35">
      <c r="A50" s="65" t="s">
        <v>2</v>
      </c>
      <c r="B50" s="65"/>
      <c r="C50" s="65">
        <f>AVERAGE(C42,C49,C35,C28,C21,C14)</f>
        <v>0</v>
      </c>
      <c r="D50" s="65">
        <f t="shared" ref="D50:P50" si="10">AVERAGE(D42,D49,D35,D28,D21,D14)</f>
        <v>0</v>
      </c>
      <c r="E50" s="65">
        <f t="shared" si="10"/>
        <v>0</v>
      </c>
      <c r="F50" s="65">
        <f t="shared" si="10"/>
        <v>0</v>
      </c>
      <c r="G50" s="65">
        <f t="shared" si="10"/>
        <v>0</v>
      </c>
      <c r="H50" s="65">
        <f t="shared" si="10"/>
        <v>0</v>
      </c>
      <c r="I50" s="65">
        <f t="shared" si="10"/>
        <v>3340.6666666666665</v>
      </c>
      <c r="J50" s="65">
        <f t="shared" si="10"/>
        <v>0</v>
      </c>
      <c r="K50" s="65">
        <f t="shared" si="10"/>
        <v>3340.6666666666665</v>
      </c>
      <c r="L50" s="65">
        <f t="shared" si="10"/>
        <v>3340.6666666666665</v>
      </c>
      <c r="M50" s="65">
        <f t="shared" si="10"/>
        <v>0</v>
      </c>
      <c r="N50" s="65">
        <f t="shared" si="10"/>
        <v>0</v>
      </c>
      <c r="O50" s="65">
        <f t="shared" si="10"/>
        <v>0</v>
      </c>
      <c r="P50" s="65">
        <f t="shared" si="10"/>
        <v>0</v>
      </c>
    </row>
    <row r="51" spans="1:16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/>
      <c r="P51" s="154"/>
    </row>
    <row r="52" spans="1:16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</row>
    <row r="53" spans="1:16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</row>
    <row r="54" spans="1:16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</row>
    <row r="55" spans="1:16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</row>
    <row r="56" spans="1:16" x14ac:dyDescent="0.35">
      <c r="A56" s="225" t="s">
        <v>167</v>
      </c>
      <c r="B56" s="225"/>
      <c r="C56" s="225">
        <f>IFERROR(C53-C52,"")</f>
        <v>0</v>
      </c>
      <c r="D56" s="225">
        <f t="shared" ref="D56:P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0</v>
      </c>
      <c r="P56" s="225">
        <f t="shared" si="11"/>
        <v>0</v>
      </c>
    </row>
    <row r="57" spans="1:16" ht="16.399999999999999" customHeight="1" x14ac:dyDescent="0.35">
      <c r="A57" s="65" t="s">
        <v>2</v>
      </c>
      <c r="B57" s="65"/>
      <c r="C57" s="65">
        <f>AVERAGE(C49,C56,C42,C35,C28,C21,C14)</f>
        <v>0</v>
      </c>
      <c r="D57" s="65">
        <f t="shared" ref="D57:P57" si="12">AVERAGE(D49,D56,D42,D35,D28,D21,D14)</f>
        <v>0</v>
      </c>
      <c r="E57" s="65">
        <f t="shared" si="12"/>
        <v>0</v>
      </c>
      <c r="F57" s="65">
        <f t="shared" si="12"/>
        <v>0</v>
      </c>
      <c r="G57" s="65">
        <f t="shared" si="12"/>
        <v>0</v>
      </c>
      <c r="H57" s="65">
        <f t="shared" si="12"/>
        <v>0</v>
      </c>
      <c r="I57" s="65">
        <f t="shared" si="12"/>
        <v>2863.4285714285716</v>
      </c>
      <c r="J57" s="65">
        <f t="shared" si="12"/>
        <v>0</v>
      </c>
      <c r="K57" s="65">
        <f t="shared" si="12"/>
        <v>2863.4285714285716</v>
      </c>
      <c r="L57" s="65">
        <f t="shared" si="12"/>
        <v>2863.4285714285716</v>
      </c>
      <c r="M57" s="65">
        <f t="shared" si="12"/>
        <v>0</v>
      </c>
      <c r="N57" s="65">
        <f t="shared" si="12"/>
        <v>0</v>
      </c>
      <c r="O57" s="65">
        <f t="shared" si="12"/>
        <v>0</v>
      </c>
      <c r="P57" s="65">
        <f t="shared" si="12"/>
        <v>0</v>
      </c>
    </row>
    <row r="58" spans="1:16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/>
      <c r="P58" s="154"/>
    </row>
    <row r="59" spans="1:16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</row>
    <row r="60" spans="1:16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</row>
    <row r="61" spans="1:16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</row>
    <row r="62" spans="1:16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</row>
    <row r="63" spans="1:16" x14ac:dyDescent="0.35">
      <c r="A63" s="225" t="s">
        <v>167</v>
      </c>
      <c r="B63" s="225"/>
      <c r="C63" s="225">
        <f>IFERROR(C60-C59,"")</f>
        <v>0</v>
      </c>
      <c r="D63" s="225">
        <f t="shared" ref="D63:P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</row>
    <row r="64" spans="1:16" ht="16.399999999999999" customHeight="1" x14ac:dyDescent="0.35">
      <c r="A64" s="65" t="s">
        <v>2</v>
      </c>
      <c r="B64" s="65"/>
      <c r="C64" s="65">
        <f>AVERAGE(C56,C63,C49,C42,C35,C28,C21,C14)</f>
        <v>0</v>
      </c>
      <c r="D64" s="65">
        <f t="shared" ref="D64:P64" si="14">AVERAGE(D56,D63,D49,D42,D35,D28,D21,D14)</f>
        <v>0</v>
      </c>
      <c r="E64" s="65">
        <f t="shared" si="14"/>
        <v>0</v>
      </c>
      <c r="F64" s="65">
        <f t="shared" si="14"/>
        <v>0</v>
      </c>
      <c r="G64" s="65">
        <f t="shared" si="14"/>
        <v>0</v>
      </c>
      <c r="H64" s="65">
        <f t="shared" si="14"/>
        <v>0</v>
      </c>
      <c r="I64" s="65">
        <f t="shared" si="14"/>
        <v>2505.5</v>
      </c>
      <c r="J64" s="65">
        <f t="shared" si="14"/>
        <v>0</v>
      </c>
      <c r="K64" s="65">
        <f t="shared" si="14"/>
        <v>2505.5</v>
      </c>
      <c r="L64" s="65">
        <f t="shared" si="14"/>
        <v>2505.5</v>
      </c>
      <c r="M64" s="65">
        <f t="shared" si="14"/>
        <v>0</v>
      </c>
      <c r="N64" s="65">
        <f t="shared" si="14"/>
        <v>0</v>
      </c>
      <c r="O64" s="65">
        <f t="shared" si="14"/>
        <v>0</v>
      </c>
      <c r="P64" s="65">
        <f t="shared" si="14"/>
        <v>0</v>
      </c>
    </row>
  </sheetData>
  <sheetProtection algorithmName="SHA-512" hashValue="bcyYwlMsuAYhOWN2MuEBAbdJtqXLB2bh/giepSvFcv4dAvJOYw9i5h7UuR3FY/HE4Updlq/uoClz61tv1zbZBw==" saltValue="am+D5GG6SAwvXdoBZHwcVg==" spinCount="100000" sheet="1" objects="1" scenarios="1"/>
  <mergeCells count="2">
    <mergeCell ref="A7:B7"/>
    <mergeCell ref="A8:B8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A1:P64"/>
  <sheetViews>
    <sheetView workbookViewId="0">
      <selection activeCell="E23" sqref="E23"/>
    </sheetView>
  </sheetViews>
  <sheetFormatPr defaultColWidth="8.81640625" defaultRowHeight="14.5" x14ac:dyDescent="0.35"/>
  <cols>
    <col min="1" max="1" width="20.453125" customWidth="1"/>
    <col min="2" max="2" width="9.81640625" customWidth="1"/>
    <col min="3" max="3" width="21.54296875" bestFit="1" customWidth="1"/>
    <col min="4" max="4" width="18.1796875" customWidth="1"/>
    <col min="5" max="5" width="2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0" width="18.54296875" customWidth="1"/>
    <col min="11" max="11" width="18.81640625" customWidth="1"/>
    <col min="12" max="12" width="17.1796875" bestFit="1" customWidth="1"/>
    <col min="13" max="13" width="19.453125" customWidth="1"/>
    <col min="14" max="14" width="16.81640625" customWidth="1"/>
    <col min="15" max="15" width="18.54296875" customWidth="1"/>
    <col min="16" max="16" width="21.81640625" customWidth="1"/>
  </cols>
  <sheetData>
    <row r="1" spans="1:16" ht="15" thickBot="1" x14ac:dyDescent="0.4"/>
    <row r="2" spans="1:16" x14ac:dyDescent="0.35">
      <c r="E2" s="130" t="s">
        <v>195</v>
      </c>
      <c r="F2" s="131"/>
      <c r="G2" s="131" t="s">
        <v>104</v>
      </c>
      <c r="H2" s="131"/>
      <c r="I2" s="132"/>
    </row>
    <row r="3" spans="1:16" x14ac:dyDescent="0.35">
      <c r="E3" s="133"/>
      <c r="F3" s="134" t="s">
        <v>221</v>
      </c>
      <c r="G3" s="135"/>
      <c r="H3" s="134"/>
      <c r="I3" s="136"/>
    </row>
    <row r="4" spans="1:16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16" ht="30.65" customHeight="1" x14ac:dyDescent="0.35">
      <c r="A5" s="141" t="s">
        <v>222</v>
      </c>
      <c r="B5" t="s">
        <v>223</v>
      </c>
    </row>
    <row r="6" spans="1:16" ht="28.4" customHeight="1" x14ac:dyDescent="0.35">
      <c r="A6" s="142" t="s">
        <v>200</v>
      </c>
      <c r="B6" s="169"/>
      <c r="C6" s="142" t="s">
        <v>224</v>
      </c>
      <c r="D6" s="142" t="s">
        <v>202</v>
      </c>
      <c r="E6" s="142" t="s">
        <v>203</v>
      </c>
      <c r="F6" s="142" t="s">
        <v>204</v>
      </c>
      <c r="G6" s="143" t="s">
        <v>205</v>
      </c>
      <c r="H6" s="143" t="s">
        <v>206</v>
      </c>
      <c r="I6" s="143" t="s">
        <v>207</v>
      </c>
      <c r="J6" s="142" t="s">
        <v>208</v>
      </c>
      <c r="K6" s="142" t="s">
        <v>209</v>
      </c>
      <c r="L6" s="142" t="s">
        <v>186</v>
      </c>
      <c r="M6" s="142" t="s">
        <v>210</v>
      </c>
      <c r="N6" s="142" t="s">
        <v>211</v>
      </c>
      <c r="O6" s="142" t="s">
        <v>212</v>
      </c>
      <c r="P6" s="144" t="s">
        <v>213</v>
      </c>
    </row>
    <row r="7" spans="1:16" x14ac:dyDescent="0.35">
      <c r="A7" s="252" t="s">
        <v>137</v>
      </c>
      <c r="B7" s="252"/>
      <c r="C7" s="145" t="s">
        <v>140</v>
      </c>
      <c r="D7" s="145" t="s">
        <v>141</v>
      </c>
      <c r="E7" s="145" t="s">
        <v>214</v>
      </c>
      <c r="F7" s="145" t="s">
        <v>215</v>
      </c>
      <c r="G7" s="145" t="s">
        <v>142</v>
      </c>
      <c r="H7" s="145" t="s">
        <v>143</v>
      </c>
      <c r="I7" s="145" t="s">
        <v>144</v>
      </c>
      <c r="J7" s="145" t="s">
        <v>145</v>
      </c>
      <c r="K7" s="145" t="s">
        <v>148</v>
      </c>
      <c r="L7" s="145" t="s">
        <v>216</v>
      </c>
      <c r="M7" s="145" t="s">
        <v>151</v>
      </c>
      <c r="N7" s="145" t="s">
        <v>217</v>
      </c>
      <c r="O7" s="145" t="s">
        <v>218</v>
      </c>
      <c r="P7" s="145" t="s">
        <v>219</v>
      </c>
    </row>
    <row r="8" spans="1:16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2</v>
      </c>
      <c r="K8" s="147">
        <v>1</v>
      </c>
      <c r="L8" s="147">
        <v>1</v>
      </c>
      <c r="M8" s="147">
        <v>1</v>
      </c>
      <c r="N8" s="147">
        <v>1</v>
      </c>
      <c r="O8" s="147">
        <v>4</v>
      </c>
      <c r="P8" s="147">
        <v>1</v>
      </c>
    </row>
    <row r="9" spans="1:16" x14ac:dyDescent="0.35">
      <c r="A9" s="150" t="s">
        <v>159</v>
      </c>
      <c r="B9" s="151"/>
      <c r="C9" s="152"/>
      <c r="D9" s="152"/>
      <c r="E9" s="152"/>
      <c r="F9" s="152"/>
      <c r="G9" s="152"/>
      <c r="H9" s="152"/>
      <c r="I9" s="152"/>
      <c r="J9" s="152"/>
      <c r="K9" s="154"/>
      <c r="L9" s="152"/>
      <c r="M9" s="173" t="s">
        <v>225</v>
      </c>
      <c r="N9" s="152"/>
      <c r="O9" s="152"/>
      <c r="P9" s="152"/>
    </row>
    <row r="10" spans="1:16" x14ac:dyDescent="0.35">
      <c r="A10" s="155" t="s">
        <v>161</v>
      </c>
      <c r="B10" s="156" t="s">
        <v>162</v>
      </c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72">
        <v>0</v>
      </c>
      <c r="N10" s="157"/>
      <c r="O10" s="157"/>
      <c r="P10" s="157"/>
    </row>
    <row r="11" spans="1:16" x14ac:dyDescent="0.35">
      <c r="A11" s="155" t="s">
        <v>161</v>
      </c>
      <c r="B11" s="156" t="s">
        <v>163</v>
      </c>
      <c r="C11" s="157"/>
      <c r="D11" s="157"/>
      <c r="E11" s="157"/>
      <c r="F11" s="157"/>
      <c r="G11" s="157"/>
      <c r="H11" s="157"/>
      <c r="I11" s="157"/>
      <c r="J11" s="157"/>
      <c r="K11" s="157"/>
      <c r="L11" s="157"/>
      <c r="M11" s="172">
        <v>0</v>
      </c>
      <c r="N11" s="157"/>
      <c r="O11" s="157"/>
      <c r="P11" s="157"/>
    </row>
    <row r="12" spans="1:16" x14ac:dyDescent="0.35">
      <c r="A12" s="155" t="s">
        <v>164</v>
      </c>
      <c r="B12" s="156"/>
      <c r="C12" s="157"/>
      <c r="D12" s="157"/>
      <c r="E12" s="157"/>
      <c r="F12" s="157"/>
      <c r="G12" s="157"/>
      <c r="H12" s="157"/>
      <c r="I12" s="157"/>
      <c r="J12" s="166"/>
      <c r="K12" s="157"/>
      <c r="L12" s="157"/>
      <c r="M12" s="178">
        <v>43709</v>
      </c>
      <c r="N12" s="157"/>
      <c r="O12" s="157"/>
      <c r="P12" s="157"/>
    </row>
    <row r="13" spans="1:16" ht="29" x14ac:dyDescent="0.35">
      <c r="A13" s="160" t="s">
        <v>165</v>
      </c>
      <c r="B13" s="161"/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62" t="s">
        <v>166</v>
      </c>
      <c r="N13" s="157"/>
      <c r="O13" s="157"/>
      <c r="P13" s="157"/>
    </row>
    <row r="14" spans="1:16" x14ac:dyDescent="0.35">
      <c r="A14" s="225" t="s">
        <v>167</v>
      </c>
      <c r="B14" s="225"/>
      <c r="C14" s="225">
        <f>IFERROR(C11-C10,"")</f>
        <v>0</v>
      </c>
      <c r="D14" s="225">
        <f t="shared" ref="D14:P14" si="0">IFERROR(D11-D10,"")</f>
        <v>0</v>
      </c>
      <c r="E14" s="225">
        <f t="shared" si="0"/>
        <v>0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0</v>
      </c>
      <c r="J14" s="225">
        <f t="shared" si="0"/>
        <v>0</v>
      </c>
      <c r="K14" s="225">
        <f t="shared" si="0"/>
        <v>0</v>
      </c>
      <c r="L14" s="225">
        <f t="shared" si="0"/>
        <v>0</v>
      </c>
      <c r="M14" s="225">
        <f t="shared" si="0"/>
        <v>0</v>
      </c>
      <c r="N14" s="225">
        <f t="shared" si="0"/>
        <v>0</v>
      </c>
      <c r="O14" s="225">
        <f t="shared" si="0"/>
        <v>0</v>
      </c>
      <c r="P14" s="225">
        <f t="shared" si="0"/>
        <v>0</v>
      </c>
    </row>
    <row r="15" spans="1:16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</row>
    <row r="16" spans="1:16" x14ac:dyDescent="0.35">
      <c r="A16" s="150" t="s">
        <v>159</v>
      </c>
      <c r="B16" s="151"/>
      <c r="C16" s="163"/>
      <c r="D16" s="154"/>
      <c r="E16" s="154"/>
      <c r="F16" s="154"/>
      <c r="G16" s="154"/>
      <c r="H16" s="154"/>
      <c r="I16" s="154"/>
      <c r="J16" s="152"/>
      <c r="K16" s="154"/>
      <c r="L16" s="154"/>
      <c r="M16" s="154"/>
      <c r="N16" s="152"/>
      <c r="O16" s="152"/>
      <c r="P16" s="154"/>
    </row>
    <row r="17" spans="1:16" x14ac:dyDescent="0.35">
      <c r="A17" s="155" t="s">
        <v>161</v>
      </c>
      <c r="B17" s="156" t="s">
        <v>162</v>
      </c>
      <c r="C17" s="165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</row>
    <row r="18" spans="1:16" x14ac:dyDescent="0.35">
      <c r="A18" s="155" t="s">
        <v>161</v>
      </c>
      <c r="B18" s="156" t="s">
        <v>163</v>
      </c>
      <c r="C18" s="165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</row>
    <row r="19" spans="1:16" x14ac:dyDescent="0.35">
      <c r="A19" s="155" t="s">
        <v>164</v>
      </c>
      <c r="B19" s="156"/>
      <c r="C19" s="165"/>
      <c r="D19" s="157"/>
      <c r="E19" s="157"/>
      <c r="F19" s="157"/>
      <c r="G19" s="157"/>
      <c r="H19" s="157"/>
      <c r="I19" s="157"/>
      <c r="J19" s="166"/>
      <c r="K19" s="157"/>
      <c r="L19" s="157"/>
      <c r="M19" s="157"/>
      <c r="N19" s="157"/>
      <c r="O19" s="157"/>
      <c r="P19" s="157"/>
    </row>
    <row r="20" spans="1:16" x14ac:dyDescent="0.35">
      <c r="A20" s="160" t="s">
        <v>165</v>
      </c>
      <c r="B20" s="167"/>
      <c r="C20" s="165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</row>
    <row r="21" spans="1:16" x14ac:dyDescent="0.35">
      <c r="A21" s="225" t="s">
        <v>167</v>
      </c>
      <c r="B21" s="225"/>
      <c r="C21" s="225">
        <f>IFERROR(C18-C17,"")</f>
        <v>0</v>
      </c>
      <c r="D21" s="225">
        <f t="shared" ref="D21:P21" si="1">IFERROR(D18-D17,"")</f>
        <v>0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0</v>
      </c>
      <c r="J21" s="225">
        <f t="shared" si="1"/>
        <v>0</v>
      </c>
      <c r="K21" s="225">
        <f t="shared" si="1"/>
        <v>0</v>
      </c>
      <c r="L21" s="225">
        <f t="shared" si="1"/>
        <v>0</v>
      </c>
      <c r="M21" s="225">
        <f t="shared" si="1"/>
        <v>0</v>
      </c>
      <c r="N21" s="225">
        <f t="shared" si="1"/>
        <v>0</v>
      </c>
      <c r="O21" s="225">
        <f t="shared" si="1"/>
        <v>0</v>
      </c>
      <c r="P21" s="225">
        <f t="shared" si="1"/>
        <v>0</v>
      </c>
    </row>
    <row r="22" spans="1:16" ht="16.399999999999999" customHeight="1" x14ac:dyDescent="0.35">
      <c r="A22" s="65" t="s">
        <v>2</v>
      </c>
      <c r="B22" s="65"/>
      <c r="C22" s="65">
        <f>AVERAGE(C14,C21)</f>
        <v>0</v>
      </c>
      <c r="D22" s="65">
        <f t="shared" ref="D22:P22" si="2">AVERAGE(D14,D21)</f>
        <v>0</v>
      </c>
      <c r="E22" s="65">
        <f t="shared" si="2"/>
        <v>0</v>
      </c>
      <c r="F22" s="65">
        <f t="shared" si="2"/>
        <v>0</v>
      </c>
      <c r="G22" s="65">
        <f t="shared" si="2"/>
        <v>0</v>
      </c>
      <c r="H22" s="65">
        <f t="shared" si="2"/>
        <v>0</v>
      </c>
      <c r="I22" s="65">
        <f t="shared" si="2"/>
        <v>0</v>
      </c>
      <c r="J22" s="65">
        <f t="shared" si="2"/>
        <v>0</v>
      </c>
      <c r="K22" s="65">
        <f t="shared" si="2"/>
        <v>0</v>
      </c>
      <c r="L22" s="65">
        <f t="shared" si="2"/>
        <v>0</v>
      </c>
      <c r="M22" s="65">
        <f t="shared" si="2"/>
        <v>0</v>
      </c>
      <c r="N22" s="65">
        <f t="shared" si="2"/>
        <v>0</v>
      </c>
      <c r="O22" s="65">
        <f t="shared" si="2"/>
        <v>0</v>
      </c>
      <c r="P22" s="65">
        <f t="shared" si="2"/>
        <v>0</v>
      </c>
    </row>
    <row r="23" spans="1:16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2"/>
      <c r="O23" s="152"/>
      <c r="P23" s="154"/>
    </row>
    <row r="24" spans="1:16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</row>
    <row r="25" spans="1:16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</row>
    <row r="26" spans="1:16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/>
      <c r="O26" s="157"/>
      <c r="P26" s="157"/>
    </row>
    <row r="27" spans="1:16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</row>
    <row r="28" spans="1:16" x14ac:dyDescent="0.35">
      <c r="A28" s="225" t="s">
        <v>167</v>
      </c>
      <c r="B28" s="225"/>
      <c r="C28" s="225">
        <f>IFERROR(C25-C24,"")</f>
        <v>0</v>
      </c>
      <c r="D28" s="225">
        <f t="shared" ref="D28:P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0</v>
      </c>
      <c r="O28" s="225">
        <f t="shared" si="3"/>
        <v>0</v>
      </c>
      <c r="P28" s="225">
        <f t="shared" si="3"/>
        <v>0</v>
      </c>
    </row>
    <row r="29" spans="1:16" ht="16.399999999999999" customHeight="1" x14ac:dyDescent="0.35">
      <c r="A29" s="65" t="s">
        <v>2</v>
      </c>
      <c r="B29" s="65"/>
      <c r="C29" s="65">
        <f>AVERAGE(C21,C28,C14)</f>
        <v>0</v>
      </c>
      <c r="D29" s="65">
        <f t="shared" ref="D29:P29" si="4">AVERAGE(D21,D28,D14)</f>
        <v>0</v>
      </c>
      <c r="E29" s="65">
        <f t="shared" si="4"/>
        <v>0</v>
      </c>
      <c r="F29" s="65">
        <f t="shared" si="4"/>
        <v>0</v>
      </c>
      <c r="G29" s="65">
        <f t="shared" si="4"/>
        <v>0</v>
      </c>
      <c r="H29" s="65">
        <f t="shared" si="4"/>
        <v>0</v>
      </c>
      <c r="I29" s="65">
        <f t="shared" si="4"/>
        <v>0</v>
      </c>
      <c r="J29" s="65">
        <f t="shared" si="4"/>
        <v>0</v>
      </c>
      <c r="K29" s="65">
        <f t="shared" si="4"/>
        <v>0</v>
      </c>
      <c r="L29" s="65">
        <f t="shared" si="4"/>
        <v>0</v>
      </c>
      <c r="M29" s="65">
        <f t="shared" si="4"/>
        <v>0</v>
      </c>
      <c r="N29" s="65">
        <f t="shared" si="4"/>
        <v>0</v>
      </c>
      <c r="O29" s="65">
        <f t="shared" si="4"/>
        <v>0</v>
      </c>
      <c r="P29" s="65">
        <f t="shared" si="4"/>
        <v>0</v>
      </c>
    </row>
    <row r="30" spans="1:16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/>
      <c r="O30" s="152"/>
      <c r="P30" s="154"/>
    </row>
    <row r="31" spans="1:16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</row>
    <row r="32" spans="1:16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</row>
    <row r="33" spans="1:16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57"/>
    </row>
    <row r="34" spans="1:16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</row>
    <row r="35" spans="1:16" x14ac:dyDescent="0.35">
      <c r="A35" s="225" t="s">
        <v>167</v>
      </c>
      <c r="B35" s="225"/>
      <c r="C35" s="225">
        <f>IFERROR(C32-C31,"")</f>
        <v>0</v>
      </c>
      <c r="D35" s="225">
        <f t="shared" ref="D35:P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0</v>
      </c>
      <c r="P35" s="225">
        <f t="shared" si="5"/>
        <v>0</v>
      </c>
    </row>
    <row r="36" spans="1:16" ht="16.399999999999999" customHeight="1" x14ac:dyDescent="0.35">
      <c r="A36" s="65" t="s">
        <v>2</v>
      </c>
      <c r="B36" s="65"/>
      <c r="C36" s="65">
        <f>AVERAGE(C28,C35,C21,C14)</f>
        <v>0</v>
      </c>
      <c r="D36" s="65">
        <f t="shared" ref="D36:P36" si="6">AVERAGE(D28,D35,D21,D14)</f>
        <v>0</v>
      </c>
      <c r="E36" s="65">
        <f t="shared" si="6"/>
        <v>0</v>
      </c>
      <c r="F36" s="65">
        <f t="shared" si="6"/>
        <v>0</v>
      </c>
      <c r="G36" s="65">
        <f t="shared" si="6"/>
        <v>0</v>
      </c>
      <c r="H36" s="65">
        <f t="shared" si="6"/>
        <v>0</v>
      </c>
      <c r="I36" s="65">
        <f t="shared" si="6"/>
        <v>0</v>
      </c>
      <c r="J36" s="65">
        <f t="shared" si="6"/>
        <v>0</v>
      </c>
      <c r="K36" s="65">
        <f t="shared" si="6"/>
        <v>0</v>
      </c>
      <c r="L36" s="65">
        <f t="shared" si="6"/>
        <v>0</v>
      </c>
      <c r="M36" s="65">
        <f t="shared" si="6"/>
        <v>0</v>
      </c>
      <c r="N36" s="65">
        <f t="shared" si="6"/>
        <v>0</v>
      </c>
      <c r="O36" s="65">
        <f t="shared" si="6"/>
        <v>0</v>
      </c>
      <c r="P36" s="65">
        <f t="shared" si="6"/>
        <v>0</v>
      </c>
    </row>
    <row r="37" spans="1:16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52"/>
      <c r="P37" s="154"/>
    </row>
    <row r="38" spans="1:16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</row>
    <row r="39" spans="1:16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</row>
    <row r="40" spans="1:16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</row>
    <row r="41" spans="1:16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</row>
    <row r="42" spans="1:16" x14ac:dyDescent="0.35">
      <c r="A42" s="225" t="s">
        <v>167</v>
      </c>
      <c r="B42" s="225"/>
      <c r="C42" s="225">
        <f>IFERROR(C39-C38,"")</f>
        <v>0</v>
      </c>
      <c r="D42" s="225">
        <f t="shared" ref="D42:P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0</v>
      </c>
      <c r="P42" s="225">
        <f t="shared" si="7"/>
        <v>0</v>
      </c>
    </row>
    <row r="43" spans="1:16" ht="16.399999999999999" customHeight="1" x14ac:dyDescent="0.35">
      <c r="A43" s="65" t="s">
        <v>2</v>
      </c>
      <c r="B43" s="65"/>
      <c r="C43" s="65">
        <f>AVERAGE(C35,C42,C28,C21,C14)</f>
        <v>0</v>
      </c>
      <c r="D43" s="65">
        <f t="shared" ref="D43:P43" si="8">AVERAGE(D35,D42,D28,D21,D14)</f>
        <v>0</v>
      </c>
      <c r="E43" s="65">
        <f t="shared" si="8"/>
        <v>0</v>
      </c>
      <c r="F43" s="65">
        <f t="shared" si="8"/>
        <v>0</v>
      </c>
      <c r="G43" s="65">
        <f t="shared" si="8"/>
        <v>0</v>
      </c>
      <c r="H43" s="65">
        <f t="shared" si="8"/>
        <v>0</v>
      </c>
      <c r="I43" s="65">
        <f t="shared" si="8"/>
        <v>0</v>
      </c>
      <c r="J43" s="65">
        <f t="shared" si="8"/>
        <v>0</v>
      </c>
      <c r="K43" s="65">
        <f t="shared" si="8"/>
        <v>0</v>
      </c>
      <c r="L43" s="65">
        <f t="shared" si="8"/>
        <v>0</v>
      </c>
      <c r="M43" s="65">
        <f t="shared" si="8"/>
        <v>0</v>
      </c>
      <c r="N43" s="65">
        <f t="shared" si="8"/>
        <v>0</v>
      </c>
      <c r="O43" s="65">
        <f t="shared" si="8"/>
        <v>0</v>
      </c>
      <c r="P43" s="65">
        <f t="shared" si="8"/>
        <v>0</v>
      </c>
    </row>
    <row r="44" spans="1:16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/>
      <c r="P44" s="154"/>
    </row>
    <row r="45" spans="1:16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</row>
    <row r="46" spans="1:16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</row>
    <row r="47" spans="1:16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</row>
    <row r="48" spans="1:16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</row>
    <row r="49" spans="1:16" x14ac:dyDescent="0.35">
      <c r="A49" s="225" t="s">
        <v>167</v>
      </c>
      <c r="B49" s="225"/>
      <c r="C49" s="225">
        <f>IFERROR(C46-C45,"")</f>
        <v>0</v>
      </c>
      <c r="D49" s="225">
        <f t="shared" ref="D49:P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</row>
    <row r="50" spans="1:16" ht="16.399999999999999" customHeight="1" x14ac:dyDescent="0.35">
      <c r="A50" s="65" t="s">
        <v>2</v>
      </c>
      <c r="B50" s="65"/>
      <c r="C50" s="65">
        <f>AVERAGE(C42,C49,C35,C28,C21,C14)</f>
        <v>0</v>
      </c>
      <c r="D50" s="65">
        <f t="shared" ref="D50:P50" si="10">AVERAGE(D42,D49,D35,D28,D21,D14)</f>
        <v>0</v>
      </c>
      <c r="E50" s="65">
        <f t="shared" si="10"/>
        <v>0</v>
      </c>
      <c r="F50" s="65">
        <f t="shared" si="10"/>
        <v>0</v>
      </c>
      <c r="G50" s="65">
        <f t="shared" si="10"/>
        <v>0</v>
      </c>
      <c r="H50" s="65">
        <f t="shared" si="10"/>
        <v>0</v>
      </c>
      <c r="I50" s="65">
        <f t="shared" si="10"/>
        <v>0</v>
      </c>
      <c r="J50" s="65">
        <f t="shared" si="10"/>
        <v>0</v>
      </c>
      <c r="K50" s="65">
        <f t="shared" si="10"/>
        <v>0</v>
      </c>
      <c r="L50" s="65">
        <f t="shared" si="10"/>
        <v>0</v>
      </c>
      <c r="M50" s="65">
        <f t="shared" si="10"/>
        <v>0</v>
      </c>
      <c r="N50" s="65">
        <f t="shared" si="10"/>
        <v>0</v>
      </c>
      <c r="O50" s="65">
        <f t="shared" si="10"/>
        <v>0</v>
      </c>
      <c r="P50" s="65">
        <f t="shared" si="10"/>
        <v>0</v>
      </c>
    </row>
    <row r="51" spans="1:16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/>
      <c r="P51" s="154"/>
    </row>
    <row r="52" spans="1:16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</row>
    <row r="53" spans="1:16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</row>
    <row r="54" spans="1:16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</row>
    <row r="55" spans="1:16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</row>
    <row r="56" spans="1:16" x14ac:dyDescent="0.35">
      <c r="A56" s="225" t="s">
        <v>167</v>
      </c>
      <c r="B56" s="225"/>
      <c r="C56" s="225">
        <f>IFERROR(C53-C52,"")</f>
        <v>0</v>
      </c>
      <c r="D56" s="225">
        <f t="shared" ref="D56:P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0</v>
      </c>
      <c r="P56" s="225">
        <f t="shared" si="11"/>
        <v>0</v>
      </c>
    </row>
    <row r="57" spans="1:16" ht="16.399999999999999" customHeight="1" x14ac:dyDescent="0.35">
      <c r="A57" s="65" t="s">
        <v>2</v>
      </c>
      <c r="B57" s="65"/>
      <c r="C57" s="65">
        <f>AVERAGE(C49,C56,C42,C35,C28,C21,C14)</f>
        <v>0</v>
      </c>
      <c r="D57" s="65">
        <f t="shared" ref="D57:P57" si="12">AVERAGE(D49,D56,D42,D35,D28,D21,D14)</f>
        <v>0</v>
      </c>
      <c r="E57" s="65">
        <f t="shared" si="12"/>
        <v>0</v>
      </c>
      <c r="F57" s="65">
        <f t="shared" si="12"/>
        <v>0</v>
      </c>
      <c r="G57" s="65">
        <f t="shared" si="12"/>
        <v>0</v>
      </c>
      <c r="H57" s="65">
        <f t="shared" si="12"/>
        <v>0</v>
      </c>
      <c r="I57" s="65">
        <f t="shared" si="12"/>
        <v>0</v>
      </c>
      <c r="J57" s="65">
        <f t="shared" si="12"/>
        <v>0</v>
      </c>
      <c r="K57" s="65">
        <f t="shared" si="12"/>
        <v>0</v>
      </c>
      <c r="L57" s="65">
        <f t="shared" si="12"/>
        <v>0</v>
      </c>
      <c r="M57" s="65">
        <f t="shared" si="12"/>
        <v>0</v>
      </c>
      <c r="N57" s="65">
        <f t="shared" si="12"/>
        <v>0</v>
      </c>
      <c r="O57" s="65">
        <f t="shared" si="12"/>
        <v>0</v>
      </c>
      <c r="P57" s="65">
        <f t="shared" si="12"/>
        <v>0</v>
      </c>
    </row>
    <row r="58" spans="1:16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/>
      <c r="P58" s="154"/>
    </row>
    <row r="59" spans="1:16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</row>
    <row r="60" spans="1:16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</row>
    <row r="61" spans="1:16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</row>
    <row r="62" spans="1:16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</row>
    <row r="63" spans="1:16" x14ac:dyDescent="0.35">
      <c r="A63" s="225" t="s">
        <v>167</v>
      </c>
      <c r="B63" s="225"/>
      <c r="C63" s="225">
        <f>IFERROR(C60-C59,"")</f>
        <v>0</v>
      </c>
      <c r="D63" s="225">
        <f t="shared" ref="D63:P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</row>
    <row r="64" spans="1:16" ht="16.399999999999999" customHeight="1" x14ac:dyDescent="0.35">
      <c r="A64" s="65" t="s">
        <v>2</v>
      </c>
      <c r="B64" s="65"/>
      <c r="C64" s="65">
        <f>AVERAGE(C56,C63,C49,C42,C35,C28,C21,C14)</f>
        <v>0</v>
      </c>
      <c r="D64" s="65">
        <f t="shared" ref="D64:P64" si="14">AVERAGE(D56,D63,D49,D42,D35,D28,D21,D14)</f>
        <v>0</v>
      </c>
      <c r="E64" s="65">
        <f t="shared" si="14"/>
        <v>0</v>
      </c>
      <c r="F64" s="65">
        <f t="shared" si="14"/>
        <v>0</v>
      </c>
      <c r="G64" s="65">
        <f t="shared" si="14"/>
        <v>0</v>
      </c>
      <c r="H64" s="65">
        <f t="shared" si="14"/>
        <v>0</v>
      </c>
      <c r="I64" s="65">
        <f t="shared" si="14"/>
        <v>0</v>
      </c>
      <c r="J64" s="65">
        <f t="shared" si="14"/>
        <v>0</v>
      </c>
      <c r="K64" s="65">
        <f t="shared" si="14"/>
        <v>0</v>
      </c>
      <c r="L64" s="65">
        <f t="shared" si="14"/>
        <v>0</v>
      </c>
      <c r="M64" s="65">
        <f t="shared" si="14"/>
        <v>0</v>
      </c>
      <c r="N64" s="65">
        <f t="shared" si="14"/>
        <v>0</v>
      </c>
      <c r="O64" s="65">
        <f t="shared" si="14"/>
        <v>0</v>
      </c>
      <c r="P64" s="65">
        <f t="shared" si="14"/>
        <v>0</v>
      </c>
    </row>
  </sheetData>
  <sheetProtection algorithmName="SHA-512" hashValue="k5VKO5AbdrzRF8UQyENx3QX8VdvCxkgE/cGlb59CYuMCWP0b7lXz67CTIWR8e8AlXVDmukel61r4Aqn78j7EXA==" saltValue="myg8jhtJxuXketxDnno47w==" spinCount="100000" sheet="1" objects="1" scenarios="1"/>
  <autoFilter ref="A2:P64" xr:uid="{00000000-0009-0000-0000-000005000000}"/>
  <mergeCells count="2">
    <mergeCell ref="A7:B7"/>
    <mergeCell ref="A8:B8"/>
  </mergeCells>
  <conditionalFormatting sqref="D15">
    <cfRule type="expression" dxfId="1335" priority="115">
      <formula>D15&lt;D18</formula>
    </cfRule>
    <cfRule type="expression" dxfId="1334" priority="116">
      <formula>D15&gt;$C$19</formula>
    </cfRule>
  </conditionalFormatting>
  <conditionalFormatting sqref="E15">
    <cfRule type="expression" dxfId="1333" priority="113" stopIfTrue="1">
      <formula>E15&lt;E18</formula>
    </cfRule>
    <cfRule type="expression" dxfId="1332" priority="114" stopIfTrue="1">
      <formula>E15&gt;$C$19</formula>
    </cfRule>
  </conditionalFormatting>
  <conditionalFormatting sqref="F15 H15:N15">
    <cfRule type="expression" dxfId="1331" priority="111">
      <formula>F15&lt;F18</formula>
    </cfRule>
    <cfRule type="expression" dxfId="1330" priority="112">
      <formula>F15&gt;F18</formula>
    </cfRule>
  </conditionalFormatting>
  <conditionalFormatting sqref="G15">
    <cfRule type="expression" dxfId="1329" priority="109">
      <formula>G15&lt;G18</formula>
    </cfRule>
    <cfRule type="expression" dxfId="1328" priority="110">
      <formula>G15&gt;G18</formula>
    </cfRule>
  </conditionalFormatting>
  <conditionalFormatting sqref="C15">
    <cfRule type="expression" dxfId="1327" priority="107">
      <formula>C15&lt;C18</formula>
    </cfRule>
    <cfRule type="expression" dxfId="1326" priority="108">
      <formula>C15&gt;C17</formula>
    </cfRule>
  </conditionalFormatting>
  <conditionalFormatting sqref="P15">
    <cfRule type="expression" dxfId="1325" priority="105">
      <formula>P15&lt;P18</formula>
    </cfRule>
    <cfRule type="expression" dxfId="1324" priority="106">
      <formula>P15&gt;P17</formula>
    </cfRule>
  </conditionalFormatting>
  <conditionalFormatting sqref="O15">
    <cfRule type="expression" dxfId="1323" priority="103">
      <formula>O15&lt;O18</formula>
    </cfRule>
    <cfRule type="expression" dxfId="1322" priority="104">
      <formula>O15&gt;O17</formula>
    </cfRule>
  </conditionalFormatting>
  <conditionalFormatting sqref="D22">
    <cfRule type="expression" dxfId="1321" priority="73">
      <formula>D22&lt;D24</formula>
    </cfRule>
    <cfRule type="expression" dxfId="1320" priority="74">
      <formula>D22&gt;$C$19</formula>
    </cfRule>
  </conditionalFormatting>
  <conditionalFormatting sqref="E22">
    <cfRule type="expression" dxfId="1319" priority="71" stopIfTrue="1">
      <formula>E22&lt;E24</formula>
    </cfRule>
    <cfRule type="expression" dxfId="1318" priority="72" stopIfTrue="1">
      <formula>E22&gt;$C$19</formula>
    </cfRule>
  </conditionalFormatting>
  <conditionalFormatting sqref="F22 H22:N22">
    <cfRule type="expression" dxfId="1317" priority="69">
      <formula>F22&lt;F24</formula>
    </cfRule>
    <cfRule type="expression" dxfId="1316" priority="70">
      <formula>F22&gt;F24</formula>
    </cfRule>
  </conditionalFormatting>
  <conditionalFormatting sqref="G22">
    <cfRule type="expression" dxfId="1315" priority="67">
      <formula>G22&lt;G24</formula>
    </cfRule>
    <cfRule type="expression" dxfId="1314" priority="68">
      <formula>G22&gt;G24</formula>
    </cfRule>
  </conditionalFormatting>
  <conditionalFormatting sqref="C22:P22">
    <cfRule type="expression" dxfId="1313" priority="65">
      <formula>C22&lt;C24</formula>
    </cfRule>
    <cfRule type="expression" dxfId="1312" priority="66">
      <formula>C22&gt;C23</formula>
    </cfRule>
  </conditionalFormatting>
  <conditionalFormatting sqref="P22">
    <cfRule type="expression" dxfId="1311" priority="63">
      <formula>P22&lt;P24</formula>
    </cfRule>
    <cfRule type="expression" dxfId="1310" priority="64">
      <formula>P22&gt;P23</formula>
    </cfRule>
  </conditionalFormatting>
  <conditionalFormatting sqref="O22">
    <cfRule type="expression" dxfId="1309" priority="61">
      <formula>O22&lt;O24</formula>
    </cfRule>
    <cfRule type="expression" dxfId="1308" priority="62">
      <formula>O22&gt;O23</formula>
    </cfRule>
  </conditionalFormatting>
  <conditionalFormatting sqref="D29">
    <cfRule type="expression" dxfId="1307" priority="59">
      <formula>D29&lt;D30</formula>
    </cfRule>
    <cfRule type="expression" dxfId="1306" priority="60">
      <formula>D29&gt;$C$19</formula>
    </cfRule>
  </conditionalFormatting>
  <conditionalFormatting sqref="E29">
    <cfRule type="expression" dxfId="1305" priority="57" stopIfTrue="1">
      <formula>E29&lt;E30</formula>
    </cfRule>
    <cfRule type="expression" dxfId="1304" priority="58" stopIfTrue="1">
      <formula>E29&gt;$C$19</formula>
    </cfRule>
  </conditionalFormatting>
  <conditionalFormatting sqref="F29 H29:N29">
    <cfRule type="expression" dxfId="1303" priority="55">
      <formula>F29&lt;F30</formula>
    </cfRule>
    <cfRule type="expression" dxfId="1302" priority="56">
      <formula>F29&gt;F30</formula>
    </cfRule>
  </conditionalFormatting>
  <conditionalFormatting sqref="G29">
    <cfRule type="expression" dxfId="1301" priority="53">
      <formula>G29&lt;G30</formula>
    </cfRule>
    <cfRule type="expression" dxfId="1300" priority="54">
      <formula>G29&gt;G30</formula>
    </cfRule>
  </conditionalFormatting>
  <conditionalFormatting sqref="O29:P29">
    <cfRule type="expression" dxfId="1299" priority="317">
      <formula>O29&lt;O30</formula>
    </cfRule>
    <cfRule type="expression" dxfId="1298" priority="318">
      <formula>O29&gt;#REF!</formula>
    </cfRule>
  </conditionalFormatting>
  <conditionalFormatting sqref="D36">
    <cfRule type="expression" dxfId="1297" priority="319">
      <formula>D36&lt;#REF!</formula>
    </cfRule>
    <cfRule type="expression" dxfId="1296" priority="320">
      <formula>D36&gt;$C$19</formula>
    </cfRule>
  </conditionalFormatting>
  <conditionalFormatting sqref="E36">
    <cfRule type="expression" dxfId="1295" priority="321" stopIfTrue="1">
      <formula>E36&lt;#REF!</formula>
    </cfRule>
    <cfRule type="expression" dxfId="1294" priority="322" stopIfTrue="1">
      <formula>E36&gt;$C$19</formula>
    </cfRule>
  </conditionalFormatting>
  <conditionalFormatting sqref="F36:P36">
    <cfRule type="expression" dxfId="1293" priority="323">
      <formula>F36&lt;#REF!</formula>
    </cfRule>
    <cfRule type="expression" dxfId="1292" priority="324">
      <formula>F36&gt;#REF!</formula>
    </cfRule>
  </conditionalFormatting>
  <conditionalFormatting sqref="D43">
    <cfRule type="expression" dxfId="1291" priority="31">
      <formula>D43&lt;#REF!</formula>
    </cfRule>
    <cfRule type="expression" dxfId="1290" priority="32">
      <formula>D43&gt;$C$19</formula>
    </cfRule>
  </conditionalFormatting>
  <conditionalFormatting sqref="E43">
    <cfRule type="expression" dxfId="1289" priority="33" stopIfTrue="1">
      <formula>E43&lt;#REF!</formula>
    </cfRule>
    <cfRule type="expression" dxfId="1288" priority="34" stopIfTrue="1">
      <formula>E43&gt;$C$19</formula>
    </cfRule>
  </conditionalFormatting>
  <conditionalFormatting sqref="F43:P43">
    <cfRule type="expression" dxfId="1287" priority="35">
      <formula>F43&lt;#REF!</formula>
    </cfRule>
    <cfRule type="expression" dxfId="1286" priority="36">
      <formula>F43&gt;#REF!</formula>
    </cfRule>
  </conditionalFormatting>
  <conditionalFormatting sqref="D50">
    <cfRule type="expression" dxfId="1285" priority="25">
      <formula>D50&lt;#REF!</formula>
    </cfRule>
    <cfRule type="expression" dxfId="1284" priority="26">
      <formula>D50&gt;$C$19</formula>
    </cfRule>
  </conditionalFormatting>
  <conditionalFormatting sqref="E50">
    <cfRule type="expression" dxfId="1283" priority="27" stopIfTrue="1">
      <formula>E50&lt;#REF!</formula>
    </cfRule>
    <cfRule type="expression" dxfId="1282" priority="28" stopIfTrue="1">
      <formula>E50&gt;$C$19</formula>
    </cfRule>
  </conditionalFormatting>
  <conditionalFormatting sqref="F50:P50">
    <cfRule type="expression" dxfId="1281" priority="29">
      <formula>F50&lt;#REF!</formula>
    </cfRule>
    <cfRule type="expression" dxfId="1280" priority="30">
      <formula>F50&gt;#REF!</formula>
    </cfRule>
  </conditionalFormatting>
  <conditionalFormatting sqref="D57">
    <cfRule type="expression" dxfId="1279" priority="19">
      <formula>D57&lt;#REF!</formula>
    </cfRule>
    <cfRule type="expression" dxfId="1278" priority="20">
      <formula>D57&gt;$C$19</formula>
    </cfRule>
  </conditionalFormatting>
  <conditionalFormatting sqref="E57">
    <cfRule type="expression" dxfId="1277" priority="21" stopIfTrue="1">
      <formula>E57&lt;#REF!</formula>
    </cfRule>
    <cfRule type="expression" dxfId="1276" priority="22" stopIfTrue="1">
      <formula>E57&gt;$C$19</formula>
    </cfRule>
  </conditionalFormatting>
  <conditionalFormatting sqref="F57:P57">
    <cfRule type="expression" dxfId="1275" priority="23">
      <formula>F57&lt;#REF!</formula>
    </cfRule>
    <cfRule type="expression" dxfId="1274" priority="24">
      <formula>F57&gt;#REF!</formula>
    </cfRule>
  </conditionalFormatting>
  <conditionalFormatting sqref="D64">
    <cfRule type="expression" dxfId="1273" priority="13">
      <formula>D64&lt;#REF!</formula>
    </cfRule>
    <cfRule type="expression" dxfId="1272" priority="14">
      <formula>D64&gt;$C$19</formula>
    </cfRule>
  </conditionalFormatting>
  <conditionalFormatting sqref="E64">
    <cfRule type="expression" dxfId="1271" priority="15" stopIfTrue="1">
      <formula>E64&lt;#REF!</formula>
    </cfRule>
    <cfRule type="expression" dxfId="1270" priority="16" stopIfTrue="1">
      <formula>E64&gt;$C$19</formula>
    </cfRule>
  </conditionalFormatting>
  <conditionalFormatting sqref="F64:P64">
    <cfRule type="expression" dxfId="1269" priority="17">
      <formula>F64&lt;#REF!</formula>
    </cfRule>
    <cfRule type="expression" dxfId="1268" priority="18">
      <formula>F64&gt;#REF!</formula>
    </cfRule>
  </conditionalFormatting>
  <conditionalFormatting sqref="C29:P29">
    <cfRule type="expression" dxfId="1267" priority="11">
      <formula>C29&lt;C31</formula>
    </cfRule>
    <cfRule type="expression" dxfId="1266" priority="12">
      <formula>C29&gt;C30</formula>
    </cfRule>
  </conditionalFormatting>
  <conditionalFormatting sqref="C36:P36">
    <cfRule type="expression" dxfId="1265" priority="9">
      <formula>C36&lt;C38</formula>
    </cfRule>
    <cfRule type="expression" dxfId="1264" priority="10">
      <formula>C36&gt;C37</formula>
    </cfRule>
  </conditionalFormatting>
  <conditionalFormatting sqref="C43:P43">
    <cfRule type="expression" dxfId="1263" priority="7">
      <formula>C43&lt;C45</formula>
    </cfRule>
    <cfRule type="expression" dxfId="1262" priority="8">
      <formula>C43&gt;C44</formula>
    </cfRule>
  </conditionalFormatting>
  <conditionalFormatting sqref="C50:P50">
    <cfRule type="expression" dxfId="1261" priority="5">
      <formula>C50&lt;C52</formula>
    </cfRule>
    <cfRule type="expression" dxfId="1260" priority="6">
      <formula>C50&gt;C51</formula>
    </cfRule>
  </conditionalFormatting>
  <conditionalFormatting sqref="C57:P57">
    <cfRule type="expression" dxfId="1259" priority="3">
      <formula>C57&lt;C59</formula>
    </cfRule>
    <cfRule type="expression" dxfId="1258" priority="4">
      <formula>C57&gt;C58</formula>
    </cfRule>
  </conditionalFormatting>
  <conditionalFormatting sqref="C64:P64">
    <cfRule type="expression" dxfId="1257" priority="1">
      <formula>C64&lt;C66</formula>
    </cfRule>
    <cfRule type="expression" dxfId="1256" priority="2">
      <formula>C64&gt;C65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AA93"/>
  <sheetViews>
    <sheetView tabSelected="1" topLeftCell="A13" zoomScale="70" zoomScaleNormal="70" workbookViewId="0">
      <selection activeCell="C27" sqref="C27"/>
    </sheetView>
  </sheetViews>
  <sheetFormatPr defaultColWidth="9" defaultRowHeight="14.5" x14ac:dyDescent="0.35"/>
  <cols>
    <col min="1" max="1" width="21.81640625" style="1" bestFit="1" customWidth="1"/>
    <col min="2" max="2" width="9" style="1"/>
    <col min="3" max="12" width="16.1796875" style="1" customWidth="1"/>
    <col min="13" max="13" width="19.81640625" style="1" customWidth="1"/>
    <col min="14" max="14" width="16.1796875" style="1" customWidth="1"/>
    <col min="15" max="15" width="20.81640625" style="1" customWidth="1"/>
    <col min="16" max="16" width="20.1796875" style="1" customWidth="1"/>
    <col min="17" max="16384" width="9" style="1"/>
  </cols>
  <sheetData>
    <row r="1" spans="1:27" ht="24" thickBot="1" x14ac:dyDescent="0.4">
      <c r="A1" s="99"/>
    </row>
    <row r="2" spans="1:27" x14ac:dyDescent="0.35">
      <c r="E2" s="2" t="s">
        <v>226</v>
      </c>
      <c r="F2" s="3" t="s">
        <v>104</v>
      </c>
      <c r="G2" s="3"/>
      <c r="H2" s="3" t="s">
        <v>227</v>
      </c>
      <c r="I2" s="4"/>
    </row>
    <row r="3" spans="1:27" ht="29.5" thickBot="1" x14ac:dyDescent="0.4">
      <c r="E3" s="40" t="s">
        <v>228</v>
      </c>
      <c r="F3" s="6" t="s">
        <v>106</v>
      </c>
      <c r="G3" s="6"/>
      <c r="H3" s="6" t="s">
        <v>229</v>
      </c>
      <c r="I3" s="8"/>
    </row>
    <row r="4" spans="1:27" ht="15" thickBot="1" x14ac:dyDescent="0.4">
      <c r="A4" s="1" t="s">
        <v>230</v>
      </c>
      <c r="B4" s="1" t="s">
        <v>169</v>
      </c>
      <c r="E4" s="41"/>
      <c r="F4" s="42" t="s">
        <v>231</v>
      </c>
      <c r="G4" s="42"/>
      <c r="H4" s="43" t="s">
        <v>232</v>
      </c>
      <c r="I4" s="44"/>
    </row>
    <row r="5" spans="1:27" ht="15" thickBot="1" x14ac:dyDescent="0.4">
      <c r="A5" s="45" t="s">
        <v>67</v>
      </c>
      <c r="B5" s="46" t="s">
        <v>233</v>
      </c>
      <c r="D5" s="47"/>
      <c r="E5" s="48"/>
      <c r="F5" s="6" t="s">
        <v>234</v>
      </c>
      <c r="G5" s="6"/>
      <c r="H5" s="6"/>
      <c r="I5" s="8"/>
      <c r="M5" s="47"/>
      <c r="N5" s="47"/>
      <c r="P5" s="47"/>
    </row>
    <row r="6" spans="1:27" s="55" customFormat="1" ht="54" customHeight="1" thickBot="1" x14ac:dyDescent="0.4">
      <c r="A6" s="49" t="s">
        <v>235</v>
      </c>
      <c r="B6" s="50" t="s">
        <v>236</v>
      </c>
      <c r="C6" s="52" t="s">
        <v>237</v>
      </c>
      <c r="D6" s="14" t="s">
        <v>69</v>
      </c>
      <c r="E6" s="52" t="s">
        <v>70</v>
      </c>
      <c r="F6" s="52" t="s">
        <v>7</v>
      </c>
      <c r="G6" s="52" t="s">
        <v>8</v>
      </c>
      <c r="H6" s="14" t="s">
        <v>9</v>
      </c>
      <c r="I6" s="52" t="s">
        <v>10</v>
      </c>
      <c r="J6" s="14" t="s">
        <v>11</v>
      </c>
      <c r="K6" s="52" t="s">
        <v>12</v>
      </c>
      <c r="L6" s="52" t="s">
        <v>13</v>
      </c>
      <c r="M6" s="52" t="s">
        <v>71</v>
      </c>
      <c r="N6" s="52" t="s">
        <v>17</v>
      </c>
      <c r="O6" s="53" t="s">
        <v>72</v>
      </c>
      <c r="P6" s="14" t="s">
        <v>16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</row>
    <row r="7" spans="1:27" s="55" customFormat="1" ht="15" customHeight="1" x14ac:dyDescent="0.35">
      <c r="A7" s="94" t="s">
        <v>137</v>
      </c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</row>
    <row r="8" spans="1:27" s="55" customFormat="1" ht="15" customHeight="1" x14ac:dyDescent="0.35">
      <c r="A8" s="95" t="s">
        <v>158</v>
      </c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</row>
    <row r="9" spans="1:27" x14ac:dyDescent="0.35">
      <c r="A9" s="26" t="s">
        <v>159</v>
      </c>
      <c r="B9" s="27"/>
      <c r="C9" s="226">
        <v>43586</v>
      </c>
      <c r="D9" s="56"/>
      <c r="E9" s="58"/>
      <c r="F9" s="58">
        <v>43586</v>
      </c>
      <c r="G9" s="58"/>
      <c r="H9" s="58"/>
      <c r="I9" s="58">
        <v>43586</v>
      </c>
      <c r="J9" s="58"/>
      <c r="K9" s="58">
        <v>43586</v>
      </c>
      <c r="L9" s="58">
        <v>43586</v>
      </c>
      <c r="M9" s="58">
        <v>43586</v>
      </c>
      <c r="N9" s="58">
        <v>43586</v>
      </c>
      <c r="O9" s="57"/>
      <c r="P9" s="57"/>
    </row>
    <row r="10" spans="1:27" x14ac:dyDescent="0.35">
      <c r="A10" s="26" t="s">
        <v>238</v>
      </c>
      <c r="B10" s="27" t="s">
        <v>162</v>
      </c>
      <c r="C10" s="128">
        <v>17870</v>
      </c>
      <c r="D10" s="129"/>
      <c r="E10" s="128"/>
      <c r="F10" s="128">
        <v>17870</v>
      </c>
      <c r="G10" s="128"/>
      <c r="H10" s="128"/>
      <c r="I10" s="128">
        <v>17870</v>
      </c>
      <c r="J10" s="128"/>
      <c r="K10" s="128">
        <v>17870</v>
      </c>
      <c r="L10" s="128">
        <v>17870</v>
      </c>
      <c r="M10" s="128">
        <v>17870</v>
      </c>
      <c r="N10" s="129">
        <v>17870</v>
      </c>
      <c r="O10" s="129"/>
      <c r="P10" s="129"/>
    </row>
    <row r="11" spans="1:27" x14ac:dyDescent="0.35">
      <c r="A11" s="26" t="s">
        <v>238</v>
      </c>
      <c r="B11" s="27" t="s">
        <v>163</v>
      </c>
      <c r="C11" s="59">
        <v>21588</v>
      </c>
      <c r="D11" s="29"/>
      <c r="E11" s="59"/>
      <c r="F11" s="59">
        <v>21588</v>
      </c>
      <c r="G11" s="59"/>
      <c r="H11" s="59"/>
      <c r="I11" s="59">
        <v>21588</v>
      </c>
      <c r="J11" s="59"/>
      <c r="K11" s="59">
        <v>21588</v>
      </c>
      <c r="L11" s="59">
        <v>21588</v>
      </c>
      <c r="M11" s="59">
        <v>21588</v>
      </c>
      <c r="N11" s="59">
        <v>21588</v>
      </c>
      <c r="O11" s="59"/>
      <c r="P11" s="59"/>
    </row>
    <row r="12" spans="1:27" x14ac:dyDescent="0.35">
      <c r="A12" s="26" t="s">
        <v>164</v>
      </c>
      <c r="B12" s="27"/>
      <c r="C12" s="58">
        <v>43749</v>
      </c>
      <c r="D12" s="60"/>
      <c r="E12" s="58"/>
      <c r="F12" s="58">
        <v>43749</v>
      </c>
      <c r="G12" s="58"/>
      <c r="H12" s="58"/>
      <c r="I12" s="58">
        <v>43749</v>
      </c>
      <c r="J12" s="58"/>
      <c r="K12" s="58">
        <v>43749</v>
      </c>
      <c r="L12" s="58">
        <v>43749</v>
      </c>
      <c r="M12" s="58">
        <v>43749</v>
      </c>
      <c r="N12" s="58">
        <v>43749</v>
      </c>
      <c r="O12" s="60"/>
      <c r="P12" s="60"/>
    </row>
    <row r="13" spans="1:27" ht="29" x14ac:dyDescent="0.35">
      <c r="A13" s="61" t="s">
        <v>165</v>
      </c>
      <c r="B13" s="62"/>
      <c r="C13" s="34" t="s">
        <v>239</v>
      </c>
      <c r="D13" s="69"/>
      <c r="E13" s="69"/>
      <c r="F13" s="69" t="s">
        <v>239</v>
      </c>
      <c r="G13" s="69"/>
      <c r="H13" s="69"/>
      <c r="I13" s="34" t="s">
        <v>239</v>
      </c>
      <c r="J13" s="69"/>
      <c r="K13" s="34" t="s">
        <v>239</v>
      </c>
      <c r="L13" s="81" t="s">
        <v>239</v>
      </c>
      <c r="M13" s="69" t="s">
        <v>239</v>
      </c>
      <c r="N13" s="34" t="s">
        <v>239</v>
      </c>
      <c r="O13" s="34"/>
      <c r="P13" s="34"/>
    </row>
    <row r="14" spans="1:27" x14ac:dyDescent="0.35">
      <c r="A14" s="225" t="s">
        <v>167</v>
      </c>
      <c r="B14" s="63"/>
      <c r="C14" s="64">
        <f>IFERROR(C11-C10,"")</f>
        <v>3718</v>
      </c>
      <c r="D14" s="64">
        <f t="shared" ref="D14:P14" si="0">IFERROR(D11-D10,"")</f>
        <v>0</v>
      </c>
      <c r="E14" s="64">
        <f t="shared" si="0"/>
        <v>0</v>
      </c>
      <c r="F14" s="64">
        <f t="shared" si="0"/>
        <v>3718</v>
      </c>
      <c r="G14" s="64">
        <f t="shared" si="0"/>
        <v>0</v>
      </c>
      <c r="H14" s="64">
        <f t="shared" si="0"/>
        <v>0</v>
      </c>
      <c r="I14" s="64">
        <f t="shared" si="0"/>
        <v>3718</v>
      </c>
      <c r="J14" s="64">
        <f t="shared" si="0"/>
        <v>0</v>
      </c>
      <c r="K14" s="64">
        <f t="shared" si="0"/>
        <v>3718</v>
      </c>
      <c r="L14" s="64">
        <f t="shared" si="0"/>
        <v>3718</v>
      </c>
      <c r="M14" s="64">
        <f t="shared" si="0"/>
        <v>3718</v>
      </c>
      <c r="N14" s="64">
        <f t="shared" si="0"/>
        <v>3718</v>
      </c>
      <c r="O14" s="64">
        <f t="shared" si="0"/>
        <v>0</v>
      </c>
      <c r="P14" s="64">
        <f t="shared" si="0"/>
        <v>0</v>
      </c>
    </row>
    <row r="15" spans="1:27" s="68" customFormat="1" x14ac:dyDescent="0.35">
      <c r="A15" s="65" t="s">
        <v>2</v>
      </c>
      <c r="B15" s="66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</row>
    <row r="16" spans="1:27" x14ac:dyDescent="0.35">
      <c r="A16" s="21" t="s">
        <v>159</v>
      </c>
      <c r="B16" s="22"/>
      <c r="C16" s="58">
        <v>43749</v>
      </c>
      <c r="D16" s="60"/>
      <c r="E16" s="58"/>
      <c r="F16" s="58">
        <v>43749</v>
      </c>
      <c r="G16" s="58"/>
      <c r="H16" s="58"/>
      <c r="I16" s="58">
        <v>43749</v>
      </c>
      <c r="J16" s="60"/>
      <c r="K16" s="58">
        <v>43749</v>
      </c>
      <c r="L16" s="58">
        <v>43749</v>
      </c>
      <c r="M16" s="58">
        <v>43749</v>
      </c>
      <c r="N16" s="58">
        <v>43749</v>
      </c>
      <c r="O16" s="60"/>
      <c r="P16" s="60"/>
    </row>
    <row r="17" spans="1:16" x14ac:dyDescent="0.35">
      <c r="A17" s="26" t="s">
        <v>238</v>
      </c>
      <c r="B17" s="27" t="s">
        <v>162</v>
      </c>
      <c r="C17" s="59">
        <v>21588</v>
      </c>
      <c r="D17" s="59"/>
      <c r="E17" s="59"/>
      <c r="F17" s="59">
        <v>21588</v>
      </c>
      <c r="G17" s="59"/>
      <c r="H17" s="59"/>
      <c r="I17" s="59">
        <v>21588</v>
      </c>
      <c r="J17" s="29"/>
      <c r="K17" s="59">
        <v>21588</v>
      </c>
      <c r="L17" s="59">
        <v>21588</v>
      </c>
      <c r="M17" s="59">
        <v>21588</v>
      </c>
      <c r="N17" s="59">
        <v>21588</v>
      </c>
      <c r="O17" s="59"/>
      <c r="P17" s="59"/>
    </row>
    <row r="18" spans="1:16" x14ac:dyDescent="0.35">
      <c r="A18" s="26" t="s">
        <v>238</v>
      </c>
      <c r="B18" s="27" t="s">
        <v>163</v>
      </c>
      <c r="C18" s="59">
        <v>26352</v>
      </c>
      <c r="D18" s="59"/>
      <c r="E18" s="59"/>
      <c r="F18" s="59">
        <v>26352</v>
      </c>
      <c r="G18" s="59"/>
      <c r="H18" s="59"/>
      <c r="I18" s="59">
        <v>26352</v>
      </c>
      <c r="J18" s="29"/>
      <c r="K18" s="59">
        <v>26352</v>
      </c>
      <c r="L18" s="59">
        <v>26352</v>
      </c>
      <c r="M18" s="59">
        <v>26352</v>
      </c>
      <c r="N18" s="59">
        <v>26352</v>
      </c>
      <c r="O18" s="59"/>
      <c r="P18" s="59"/>
    </row>
    <row r="19" spans="1:16" x14ac:dyDescent="0.35">
      <c r="A19" s="26" t="s">
        <v>164</v>
      </c>
      <c r="B19" s="27"/>
      <c r="C19" s="58" t="s">
        <v>240</v>
      </c>
      <c r="D19" s="60"/>
      <c r="E19" s="58"/>
      <c r="F19" s="58" t="s">
        <v>240</v>
      </c>
      <c r="G19" s="58"/>
      <c r="H19" s="58"/>
      <c r="I19" s="58" t="s">
        <v>240</v>
      </c>
      <c r="J19" s="60"/>
      <c r="K19" s="58" t="s">
        <v>240</v>
      </c>
      <c r="L19" s="58" t="s">
        <v>240</v>
      </c>
      <c r="M19" s="58" t="s">
        <v>240</v>
      </c>
      <c r="N19" s="58" t="s">
        <v>240</v>
      </c>
      <c r="O19" s="60"/>
      <c r="P19" s="60"/>
    </row>
    <row r="20" spans="1:16" ht="29" x14ac:dyDescent="0.35">
      <c r="A20" s="61" t="s">
        <v>165</v>
      </c>
      <c r="B20" s="62"/>
      <c r="C20" s="81" t="s">
        <v>239</v>
      </c>
      <c r="D20" s="34"/>
      <c r="E20" s="34"/>
      <c r="F20" s="34" t="s">
        <v>239</v>
      </c>
      <c r="G20" s="34"/>
      <c r="H20" s="34"/>
      <c r="I20" s="69" t="s">
        <v>239</v>
      </c>
      <c r="J20" s="34"/>
      <c r="K20" s="69" t="s">
        <v>239</v>
      </c>
      <c r="L20" s="69" t="s">
        <v>239</v>
      </c>
      <c r="M20" s="81" t="s">
        <v>239</v>
      </c>
      <c r="N20" s="81" t="s">
        <v>239</v>
      </c>
      <c r="O20" s="34"/>
      <c r="P20" s="34"/>
    </row>
    <row r="21" spans="1:16" x14ac:dyDescent="0.35">
      <c r="A21" s="225" t="s">
        <v>167</v>
      </c>
      <c r="B21" s="63"/>
      <c r="C21" s="64">
        <f>IFERROR(C18-C17,"")</f>
        <v>4764</v>
      </c>
      <c r="D21" s="64">
        <f>IFERROR(D18-D17,"")</f>
        <v>0</v>
      </c>
      <c r="E21" s="64">
        <f t="shared" ref="E21:P21" si="1">IFERROR(E18-E17,"")</f>
        <v>0</v>
      </c>
      <c r="F21" s="64">
        <f t="shared" si="1"/>
        <v>4764</v>
      </c>
      <c r="G21" s="64">
        <f t="shared" si="1"/>
        <v>0</v>
      </c>
      <c r="H21" s="64">
        <f t="shared" si="1"/>
        <v>0</v>
      </c>
      <c r="I21" s="64">
        <f t="shared" si="1"/>
        <v>4764</v>
      </c>
      <c r="J21" s="64">
        <f t="shared" si="1"/>
        <v>0</v>
      </c>
      <c r="K21" s="64">
        <f t="shared" si="1"/>
        <v>4764</v>
      </c>
      <c r="L21" s="64">
        <f t="shared" si="1"/>
        <v>4764</v>
      </c>
      <c r="M21" s="64">
        <f t="shared" si="1"/>
        <v>4764</v>
      </c>
      <c r="N21" s="64">
        <f t="shared" si="1"/>
        <v>4764</v>
      </c>
      <c r="O21" s="64">
        <f t="shared" si="1"/>
        <v>0</v>
      </c>
      <c r="P21" s="64">
        <f t="shared" si="1"/>
        <v>0</v>
      </c>
    </row>
    <row r="22" spans="1:16" s="68" customFormat="1" x14ac:dyDescent="0.35">
      <c r="A22" s="65" t="s">
        <v>2</v>
      </c>
      <c r="B22" s="66"/>
      <c r="C22" s="67">
        <f>AVERAGE(C21,C14)</f>
        <v>4241</v>
      </c>
      <c r="D22" s="67">
        <f t="shared" ref="D22:P22" si="2">AVERAGE(D21,D14)</f>
        <v>0</v>
      </c>
      <c r="E22" s="67">
        <f t="shared" si="2"/>
        <v>0</v>
      </c>
      <c r="F22" s="67">
        <f t="shared" si="2"/>
        <v>4241</v>
      </c>
      <c r="G22" s="67">
        <f t="shared" si="2"/>
        <v>0</v>
      </c>
      <c r="H22" s="67">
        <f t="shared" si="2"/>
        <v>0</v>
      </c>
      <c r="I22" s="67">
        <f t="shared" si="2"/>
        <v>4241</v>
      </c>
      <c r="J22" s="67">
        <f t="shared" si="2"/>
        <v>0</v>
      </c>
      <c r="K22" s="67">
        <f t="shared" si="2"/>
        <v>4241</v>
      </c>
      <c r="L22" s="67">
        <f t="shared" si="2"/>
        <v>4241</v>
      </c>
      <c r="M22" s="67">
        <f t="shared" si="2"/>
        <v>4241</v>
      </c>
      <c r="N22" s="67">
        <f t="shared" si="2"/>
        <v>4241</v>
      </c>
      <c r="O22" s="67">
        <f t="shared" si="2"/>
        <v>0</v>
      </c>
      <c r="P22" s="67">
        <f t="shared" si="2"/>
        <v>0</v>
      </c>
    </row>
    <row r="23" spans="1:16" x14ac:dyDescent="0.35">
      <c r="A23" s="21" t="s">
        <v>159</v>
      </c>
      <c r="B23" s="22"/>
      <c r="C23" s="58" t="s">
        <v>240</v>
      </c>
      <c r="D23" s="82"/>
      <c r="E23" s="58"/>
      <c r="F23" s="58" t="s">
        <v>240</v>
      </c>
      <c r="G23" s="58"/>
      <c r="H23" s="58"/>
      <c r="I23" s="58" t="s">
        <v>240</v>
      </c>
      <c r="J23" s="60"/>
      <c r="K23" s="58" t="s">
        <v>240</v>
      </c>
      <c r="L23" s="58" t="s">
        <v>240</v>
      </c>
      <c r="M23" s="58" t="s">
        <v>240</v>
      </c>
      <c r="N23" s="58" t="s">
        <v>240</v>
      </c>
      <c r="O23" s="60"/>
      <c r="P23" s="60"/>
    </row>
    <row r="24" spans="1:16" x14ac:dyDescent="0.35">
      <c r="A24" s="26" t="s">
        <v>238</v>
      </c>
      <c r="B24" s="27" t="s">
        <v>162</v>
      </c>
      <c r="C24" s="59">
        <v>26352</v>
      </c>
      <c r="D24" s="83"/>
      <c r="E24" s="59"/>
      <c r="F24" s="59">
        <v>26352</v>
      </c>
      <c r="G24" s="29"/>
      <c r="H24" s="29"/>
      <c r="I24" s="59">
        <v>26352</v>
      </c>
      <c r="J24" s="29"/>
      <c r="K24" s="59">
        <v>26352</v>
      </c>
      <c r="L24" s="59">
        <v>26352</v>
      </c>
      <c r="M24" s="59">
        <v>26352</v>
      </c>
      <c r="N24" s="59">
        <v>26352</v>
      </c>
      <c r="O24" s="59"/>
      <c r="P24" s="59"/>
    </row>
    <row r="25" spans="1:16" x14ac:dyDescent="0.35">
      <c r="A25" s="26" t="s">
        <v>238</v>
      </c>
      <c r="B25" s="27" t="s">
        <v>163</v>
      </c>
      <c r="C25" s="59">
        <v>30070</v>
      </c>
      <c r="D25" s="70"/>
      <c r="E25" s="59"/>
      <c r="F25" s="59">
        <v>30070</v>
      </c>
      <c r="G25" s="29"/>
      <c r="H25" s="29"/>
      <c r="I25" s="59">
        <v>30070</v>
      </c>
      <c r="J25" s="29"/>
      <c r="K25" s="59">
        <v>30070</v>
      </c>
      <c r="L25" s="59">
        <v>30070</v>
      </c>
      <c r="M25" s="59">
        <v>30070</v>
      </c>
      <c r="N25" s="59">
        <v>30070</v>
      </c>
      <c r="O25" s="29"/>
      <c r="P25" s="29"/>
    </row>
    <row r="26" spans="1:16" x14ac:dyDescent="0.35">
      <c r="A26" s="26" t="s">
        <v>164</v>
      </c>
      <c r="B26" s="27"/>
      <c r="C26" s="58" t="s">
        <v>241</v>
      </c>
      <c r="D26" s="82"/>
      <c r="E26" s="58"/>
      <c r="F26" s="58" t="s">
        <v>241</v>
      </c>
      <c r="G26" s="58"/>
      <c r="H26" s="58"/>
      <c r="I26" s="58" t="s">
        <v>241</v>
      </c>
      <c r="J26" s="60"/>
      <c r="K26" s="58" t="s">
        <v>241</v>
      </c>
      <c r="L26" s="58" t="s">
        <v>241</v>
      </c>
      <c r="M26" s="58" t="s">
        <v>241</v>
      </c>
      <c r="N26" s="58" t="s">
        <v>241</v>
      </c>
      <c r="O26" s="60"/>
      <c r="P26" s="60"/>
    </row>
    <row r="27" spans="1:16" ht="29" x14ac:dyDescent="0.35">
      <c r="A27" s="61" t="s">
        <v>165</v>
      </c>
      <c r="B27" s="62"/>
      <c r="C27" s="81" t="s">
        <v>239</v>
      </c>
      <c r="D27" s="84"/>
      <c r="E27" s="34"/>
      <c r="F27" s="34" t="s">
        <v>239</v>
      </c>
      <c r="G27" s="34"/>
      <c r="H27" s="34"/>
      <c r="I27" s="34" t="s">
        <v>239</v>
      </c>
      <c r="J27" s="34"/>
      <c r="K27" s="34" t="s">
        <v>239</v>
      </c>
      <c r="L27" s="34" t="s">
        <v>239</v>
      </c>
      <c r="M27" s="34" t="s">
        <v>239</v>
      </c>
      <c r="N27" s="81" t="s">
        <v>239</v>
      </c>
      <c r="O27" s="34"/>
      <c r="P27" s="34"/>
    </row>
    <row r="28" spans="1:16" x14ac:dyDescent="0.35">
      <c r="A28" s="225" t="s">
        <v>167</v>
      </c>
      <c r="B28" s="63"/>
      <c r="C28" s="64">
        <f>IFERROR(C25-C24,"")</f>
        <v>3718</v>
      </c>
      <c r="D28" s="64">
        <f t="shared" ref="D28:P28" si="3">IFERROR(D25-D24,"")</f>
        <v>0</v>
      </c>
      <c r="E28" s="64">
        <f t="shared" si="3"/>
        <v>0</v>
      </c>
      <c r="F28" s="64">
        <f t="shared" si="3"/>
        <v>3718</v>
      </c>
      <c r="G28" s="64">
        <f t="shared" si="3"/>
        <v>0</v>
      </c>
      <c r="H28" s="64">
        <f t="shared" si="3"/>
        <v>0</v>
      </c>
      <c r="I28" s="64">
        <f t="shared" si="3"/>
        <v>3718</v>
      </c>
      <c r="J28" s="64">
        <f t="shared" si="3"/>
        <v>0</v>
      </c>
      <c r="K28" s="64">
        <f t="shared" si="3"/>
        <v>3718</v>
      </c>
      <c r="L28" s="64">
        <f t="shared" si="3"/>
        <v>3718</v>
      </c>
      <c r="M28" s="64">
        <f t="shared" si="3"/>
        <v>3718</v>
      </c>
      <c r="N28" s="64">
        <f t="shared" si="3"/>
        <v>3718</v>
      </c>
      <c r="O28" s="64">
        <f t="shared" si="3"/>
        <v>0</v>
      </c>
      <c r="P28" s="64">
        <f t="shared" si="3"/>
        <v>0</v>
      </c>
    </row>
    <row r="29" spans="1:16" s="68" customFormat="1" x14ac:dyDescent="0.35">
      <c r="A29" s="65" t="s">
        <v>2</v>
      </c>
      <c r="B29" s="66"/>
      <c r="C29" s="71">
        <f>AVERAGE(C28,C21,C14)</f>
        <v>4066.6666666666665</v>
      </c>
      <c r="D29" s="71">
        <f t="shared" ref="D29:P29" si="4">AVERAGE(D28,D21,D14)</f>
        <v>0</v>
      </c>
      <c r="E29" s="71">
        <f t="shared" si="4"/>
        <v>0</v>
      </c>
      <c r="F29" s="71">
        <f t="shared" si="4"/>
        <v>4066.6666666666665</v>
      </c>
      <c r="G29" s="71">
        <f t="shared" si="4"/>
        <v>0</v>
      </c>
      <c r="H29" s="71">
        <f t="shared" si="4"/>
        <v>0</v>
      </c>
      <c r="I29" s="71">
        <f t="shared" si="4"/>
        <v>4066.6666666666665</v>
      </c>
      <c r="J29" s="71">
        <f t="shared" si="4"/>
        <v>0</v>
      </c>
      <c r="K29" s="71">
        <f t="shared" si="4"/>
        <v>4066.6666666666665</v>
      </c>
      <c r="L29" s="71">
        <f t="shared" si="4"/>
        <v>4066.6666666666665</v>
      </c>
      <c r="M29" s="71">
        <f t="shared" si="4"/>
        <v>4066.6666666666665</v>
      </c>
      <c r="N29" s="71">
        <f t="shared" si="4"/>
        <v>4066.6666666666665</v>
      </c>
      <c r="O29" s="71">
        <f t="shared" si="4"/>
        <v>0</v>
      </c>
      <c r="P29" s="71">
        <f t="shared" si="4"/>
        <v>0</v>
      </c>
    </row>
    <row r="30" spans="1:16" x14ac:dyDescent="0.35">
      <c r="A30" s="21" t="s">
        <v>159</v>
      </c>
      <c r="B30" s="22"/>
      <c r="C30" s="58" t="s">
        <v>241</v>
      </c>
      <c r="D30" s="60"/>
      <c r="E30" s="58"/>
      <c r="F30" s="58" t="s">
        <v>241</v>
      </c>
      <c r="G30" s="58"/>
      <c r="H30" s="58"/>
      <c r="I30" s="60" t="s">
        <v>241</v>
      </c>
      <c r="J30" s="60"/>
      <c r="K30" s="60" t="s">
        <v>241</v>
      </c>
      <c r="L30" s="60" t="s">
        <v>241</v>
      </c>
      <c r="M30" s="60" t="s">
        <v>241</v>
      </c>
      <c r="N30" s="58" t="s">
        <v>241</v>
      </c>
      <c r="O30" s="60"/>
      <c r="P30" s="60"/>
    </row>
    <row r="31" spans="1:16" x14ac:dyDescent="0.35">
      <c r="A31" s="26" t="s">
        <v>238</v>
      </c>
      <c r="B31" s="27" t="s">
        <v>162</v>
      </c>
      <c r="C31" s="59">
        <v>30070</v>
      </c>
      <c r="D31" s="29">
        <f>D25</f>
        <v>0</v>
      </c>
      <c r="E31" s="29"/>
      <c r="F31" s="29">
        <v>30070</v>
      </c>
      <c r="G31" s="29"/>
      <c r="H31" s="29"/>
      <c r="I31" s="29">
        <v>30070</v>
      </c>
      <c r="J31" s="59"/>
      <c r="K31" s="29">
        <v>30070</v>
      </c>
      <c r="L31" s="29">
        <v>30070</v>
      </c>
      <c r="M31" s="29">
        <v>30070</v>
      </c>
      <c r="N31" s="59">
        <v>30070</v>
      </c>
      <c r="O31" s="29"/>
      <c r="P31" s="29"/>
    </row>
    <row r="32" spans="1:16" x14ac:dyDescent="0.35">
      <c r="A32" s="26" t="s">
        <v>238</v>
      </c>
      <c r="B32" s="27" t="s">
        <v>163</v>
      </c>
      <c r="C32" s="59">
        <v>35017</v>
      </c>
      <c r="D32" s="29"/>
      <c r="E32" s="59"/>
      <c r="F32" s="74">
        <v>35017</v>
      </c>
      <c r="G32" s="74"/>
      <c r="H32" s="70"/>
      <c r="I32" s="74">
        <v>35017</v>
      </c>
      <c r="J32" s="74"/>
      <c r="K32" s="29">
        <v>37543</v>
      </c>
      <c r="L32" s="29">
        <v>35017</v>
      </c>
      <c r="M32" s="29">
        <v>35017</v>
      </c>
      <c r="N32" s="59">
        <v>37544</v>
      </c>
      <c r="O32" s="29"/>
      <c r="P32" s="29"/>
    </row>
    <row r="33" spans="1:16" x14ac:dyDescent="0.35">
      <c r="A33" s="26" t="s">
        <v>164</v>
      </c>
      <c r="B33" s="27"/>
      <c r="C33" s="58" t="s">
        <v>242</v>
      </c>
      <c r="D33" s="23"/>
      <c r="E33" s="58"/>
      <c r="F33" s="58" t="s">
        <v>242</v>
      </c>
      <c r="G33" s="60"/>
      <c r="H33" s="60"/>
      <c r="I33" s="60" t="s">
        <v>242</v>
      </c>
      <c r="J33" s="60"/>
      <c r="K33" s="60" t="s">
        <v>243</v>
      </c>
      <c r="L33" s="60" t="s">
        <v>242</v>
      </c>
      <c r="M33" s="60" t="s">
        <v>242</v>
      </c>
      <c r="N33" s="58" t="s">
        <v>243</v>
      </c>
      <c r="O33" s="60"/>
      <c r="P33" s="60"/>
    </row>
    <row r="34" spans="1:16" x14ac:dyDescent="0.35">
      <c r="A34" s="61" t="s">
        <v>165</v>
      </c>
      <c r="B34" s="62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</row>
    <row r="35" spans="1:16" x14ac:dyDescent="0.35">
      <c r="A35" s="225" t="s">
        <v>167</v>
      </c>
      <c r="B35" s="63"/>
      <c r="C35" s="64">
        <f>IFERROR(C32-C31,"")</f>
        <v>4947</v>
      </c>
      <c r="D35" s="64">
        <f t="shared" ref="D35:P35" si="5">IFERROR(D32-D31,"")</f>
        <v>0</v>
      </c>
      <c r="E35" s="64">
        <f t="shared" si="5"/>
        <v>0</v>
      </c>
      <c r="F35" s="64">
        <f t="shared" si="5"/>
        <v>4947</v>
      </c>
      <c r="G35" s="64">
        <f t="shared" si="5"/>
        <v>0</v>
      </c>
      <c r="H35" s="64">
        <f t="shared" si="5"/>
        <v>0</v>
      </c>
      <c r="I35" s="64">
        <f t="shared" si="5"/>
        <v>4947</v>
      </c>
      <c r="J35" s="64">
        <f t="shared" si="5"/>
        <v>0</v>
      </c>
      <c r="K35" s="64">
        <f t="shared" si="5"/>
        <v>7473</v>
      </c>
      <c r="L35" s="64">
        <f t="shared" si="5"/>
        <v>4947</v>
      </c>
      <c r="M35" s="64">
        <f t="shared" si="5"/>
        <v>4947</v>
      </c>
      <c r="N35" s="64">
        <f t="shared" si="5"/>
        <v>7474</v>
      </c>
      <c r="O35" s="64">
        <f t="shared" si="5"/>
        <v>0</v>
      </c>
      <c r="P35" s="64">
        <f t="shared" si="5"/>
        <v>0</v>
      </c>
    </row>
    <row r="36" spans="1:16" s="68" customFormat="1" x14ac:dyDescent="0.35">
      <c r="A36" s="65" t="s">
        <v>2</v>
      </c>
      <c r="B36" s="66"/>
      <c r="C36" s="71">
        <f>AVERAGE(C21,C28,C35,C14)</f>
        <v>4286.75</v>
      </c>
      <c r="D36" s="71">
        <f t="shared" ref="D36:P36" si="6">AVERAGE(D21,D28,D35,D14)</f>
        <v>0</v>
      </c>
      <c r="E36" s="71">
        <f t="shared" si="6"/>
        <v>0</v>
      </c>
      <c r="F36" s="71">
        <f t="shared" si="6"/>
        <v>4286.75</v>
      </c>
      <c r="G36" s="71">
        <f t="shared" si="6"/>
        <v>0</v>
      </c>
      <c r="H36" s="71">
        <f t="shared" si="6"/>
        <v>0</v>
      </c>
      <c r="I36" s="71">
        <f t="shared" si="6"/>
        <v>4286.75</v>
      </c>
      <c r="J36" s="71">
        <f t="shared" si="6"/>
        <v>0</v>
      </c>
      <c r="K36" s="71">
        <f t="shared" si="6"/>
        <v>4918.25</v>
      </c>
      <c r="L36" s="71">
        <f t="shared" si="6"/>
        <v>4286.75</v>
      </c>
      <c r="M36" s="71">
        <f t="shared" si="6"/>
        <v>4286.75</v>
      </c>
      <c r="N36" s="71">
        <f t="shared" si="6"/>
        <v>4918.5</v>
      </c>
      <c r="O36" s="71">
        <f t="shared" si="6"/>
        <v>0</v>
      </c>
      <c r="P36" s="71">
        <f t="shared" si="6"/>
        <v>0</v>
      </c>
    </row>
    <row r="37" spans="1:16" x14ac:dyDescent="0.35">
      <c r="A37" s="21" t="s">
        <v>159</v>
      </c>
      <c r="B37" s="22"/>
      <c r="C37" s="90" t="s">
        <v>242</v>
      </c>
      <c r="D37" s="29"/>
      <c r="E37" s="29"/>
      <c r="F37" s="29" t="s">
        <v>242</v>
      </c>
      <c r="G37" s="60"/>
      <c r="H37" s="29"/>
      <c r="I37" s="29" t="s">
        <v>242</v>
      </c>
      <c r="J37" s="23"/>
      <c r="K37" s="60"/>
      <c r="L37" s="60" t="s">
        <v>242</v>
      </c>
      <c r="M37" s="60" t="s">
        <v>242</v>
      </c>
      <c r="N37" s="60" t="s">
        <v>243</v>
      </c>
      <c r="O37" s="60"/>
      <c r="P37" s="60"/>
    </row>
    <row r="38" spans="1:16" x14ac:dyDescent="0.35">
      <c r="A38" s="26" t="s">
        <v>238</v>
      </c>
      <c r="B38" s="27" t="s">
        <v>162</v>
      </c>
      <c r="C38" s="75">
        <v>35017</v>
      </c>
      <c r="D38" s="29">
        <f t="shared" ref="D38:H38" si="7">D32</f>
        <v>0</v>
      </c>
      <c r="E38" s="29">
        <f t="shared" si="7"/>
        <v>0</v>
      </c>
      <c r="F38" s="29">
        <v>35017</v>
      </c>
      <c r="G38" s="29"/>
      <c r="H38" s="29">
        <f t="shared" si="7"/>
        <v>0</v>
      </c>
      <c r="I38" s="29">
        <v>35017</v>
      </c>
      <c r="J38" s="29"/>
      <c r="K38" s="29"/>
      <c r="L38" s="29">
        <v>35017</v>
      </c>
      <c r="M38" s="29">
        <v>35017</v>
      </c>
      <c r="N38" s="29">
        <v>37544</v>
      </c>
      <c r="O38" s="29"/>
      <c r="P38" s="29"/>
    </row>
    <row r="39" spans="1:16" x14ac:dyDescent="0.35">
      <c r="A39" s="26" t="s">
        <v>238</v>
      </c>
      <c r="B39" s="27" t="s">
        <v>163</v>
      </c>
      <c r="C39" s="75">
        <v>37943</v>
      </c>
      <c r="D39" s="29"/>
      <c r="E39" s="29"/>
      <c r="F39" s="29">
        <v>37543</v>
      </c>
      <c r="G39" s="29"/>
      <c r="H39" s="29"/>
      <c r="I39" s="29">
        <v>37543</v>
      </c>
      <c r="J39" s="29"/>
      <c r="K39" s="29"/>
      <c r="L39" s="29">
        <v>37543</v>
      </c>
      <c r="M39" s="73">
        <v>37543</v>
      </c>
      <c r="N39" s="29">
        <v>39449</v>
      </c>
      <c r="O39" s="73"/>
      <c r="P39" s="73"/>
    </row>
    <row r="40" spans="1:16" x14ac:dyDescent="0.35">
      <c r="A40" s="26" t="s">
        <v>164</v>
      </c>
      <c r="B40" s="27"/>
      <c r="C40" s="75" t="s">
        <v>244</v>
      </c>
      <c r="D40" s="29"/>
      <c r="E40" s="29"/>
      <c r="F40" s="29" t="s">
        <v>244</v>
      </c>
      <c r="G40" s="60"/>
      <c r="H40" s="29"/>
      <c r="I40" s="29" t="s">
        <v>244</v>
      </c>
      <c r="J40" s="23"/>
      <c r="K40" s="60"/>
      <c r="L40" s="60" t="s">
        <v>243</v>
      </c>
      <c r="M40" s="60" t="s">
        <v>244</v>
      </c>
      <c r="N40" s="60" t="s">
        <v>550</v>
      </c>
      <c r="O40" s="60"/>
      <c r="P40" s="60"/>
    </row>
    <row r="41" spans="1:16" x14ac:dyDescent="0.35">
      <c r="A41" s="61" t="s">
        <v>165</v>
      </c>
      <c r="B41" s="62"/>
      <c r="C41" s="75"/>
      <c r="D41" s="29"/>
      <c r="E41" s="29"/>
      <c r="F41" s="29"/>
      <c r="G41" s="34"/>
      <c r="H41" s="29"/>
      <c r="I41" s="29"/>
      <c r="J41" s="29"/>
      <c r="K41" s="34"/>
      <c r="L41" s="34"/>
      <c r="M41" s="34"/>
      <c r="N41" s="34" t="s">
        <v>270</v>
      </c>
      <c r="O41" s="34"/>
      <c r="P41" s="34"/>
    </row>
    <row r="42" spans="1:16" x14ac:dyDescent="0.35">
      <c r="A42" s="225" t="s">
        <v>167</v>
      </c>
      <c r="B42" s="63"/>
      <c r="C42" s="64">
        <f>IFERROR(C39-C38,"")</f>
        <v>2926</v>
      </c>
      <c r="D42" s="64">
        <f t="shared" ref="D42:P42" si="8">IFERROR(D39-D38,"")</f>
        <v>0</v>
      </c>
      <c r="E42" s="64">
        <f t="shared" si="8"/>
        <v>0</v>
      </c>
      <c r="F42" s="64">
        <f t="shared" si="8"/>
        <v>2526</v>
      </c>
      <c r="G42" s="64">
        <f t="shared" si="8"/>
        <v>0</v>
      </c>
      <c r="H42" s="64">
        <f t="shared" si="8"/>
        <v>0</v>
      </c>
      <c r="I42" s="64">
        <f t="shared" si="8"/>
        <v>2526</v>
      </c>
      <c r="J42" s="64">
        <f t="shared" si="8"/>
        <v>0</v>
      </c>
      <c r="K42" s="64">
        <f t="shared" si="8"/>
        <v>0</v>
      </c>
      <c r="L42" s="64">
        <f t="shared" si="8"/>
        <v>2526</v>
      </c>
      <c r="M42" s="64">
        <f t="shared" si="8"/>
        <v>2526</v>
      </c>
      <c r="N42" s="64">
        <f t="shared" si="8"/>
        <v>1905</v>
      </c>
      <c r="O42" s="64">
        <f t="shared" si="8"/>
        <v>0</v>
      </c>
      <c r="P42" s="64">
        <f t="shared" si="8"/>
        <v>0</v>
      </c>
    </row>
    <row r="43" spans="1:16" s="68" customFormat="1" x14ac:dyDescent="0.35">
      <c r="A43" s="65" t="s">
        <v>2</v>
      </c>
      <c r="B43" s="66"/>
      <c r="C43" s="71">
        <f>AVERAGE(C28,C35,C42,C21,C14)</f>
        <v>4014.6</v>
      </c>
      <c r="D43" s="71">
        <f t="shared" ref="D43:P43" si="9">AVERAGE(D28,D35,D42,D21,D14)</f>
        <v>0</v>
      </c>
      <c r="E43" s="71">
        <f t="shared" si="9"/>
        <v>0</v>
      </c>
      <c r="F43" s="71">
        <f t="shared" si="9"/>
        <v>3934.6</v>
      </c>
      <c r="G43" s="71">
        <f t="shared" si="9"/>
        <v>0</v>
      </c>
      <c r="H43" s="71">
        <f t="shared" si="9"/>
        <v>0</v>
      </c>
      <c r="I43" s="71">
        <f t="shared" si="9"/>
        <v>3934.6</v>
      </c>
      <c r="J43" s="71">
        <f t="shared" si="9"/>
        <v>0</v>
      </c>
      <c r="K43" s="71">
        <f t="shared" si="9"/>
        <v>3934.6</v>
      </c>
      <c r="L43" s="71">
        <f t="shared" si="9"/>
        <v>3934.6</v>
      </c>
      <c r="M43" s="71">
        <f t="shared" si="9"/>
        <v>3934.6</v>
      </c>
      <c r="N43" s="71">
        <f t="shared" si="9"/>
        <v>4315.8</v>
      </c>
      <c r="O43" s="71">
        <f t="shared" si="9"/>
        <v>0</v>
      </c>
      <c r="P43" s="71">
        <f t="shared" si="9"/>
        <v>0</v>
      </c>
    </row>
    <row r="44" spans="1:16" x14ac:dyDescent="0.35">
      <c r="A44" s="21" t="s">
        <v>159</v>
      </c>
      <c r="B44" s="22"/>
      <c r="C44" s="75" t="s">
        <v>244</v>
      </c>
      <c r="D44" s="29"/>
      <c r="E44" s="29"/>
      <c r="F44" s="29" t="s">
        <v>244</v>
      </c>
      <c r="G44" s="58"/>
      <c r="H44" s="29"/>
      <c r="I44" s="29" t="s">
        <v>244</v>
      </c>
      <c r="J44" s="23"/>
      <c r="K44" s="60"/>
      <c r="L44" s="60" t="s">
        <v>243</v>
      </c>
      <c r="M44" s="60" t="s">
        <v>244</v>
      </c>
      <c r="N44" s="60"/>
      <c r="O44" s="23"/>
      <c r="P44" s="29"/>
    </row>
    <row r="45" spans="1:16" x14ac:dyDescent="0.35">
      <c r="A45" s="26" t="s">
        <v>238</v>
      </c>
      <c r="B45" s="27" t="s">
        <v>162</v>
      </c>
      <c r="C45" s="75">
        <v>37943</v>
      </c>
      <c r="D45" s="29">
        <f t="shared" ref="D45:I45" si="10">D39</f>
        <v>0</v>
      </c>
      <c r="E45" s="29">
        <f t="shared" si="10"/>
        <v>0</v>
      </c>
      <c r="F45" s="29">
        <v>37543</v>
      </c>
      <c r="G45" s="29"/>
      <c r="H45" s="29">
        <f t="shared" si="10"/>
        <v>0</v>
      </c>
      <c r="I45" s="29">
        <v>37543</v>
      </c>
      <c r="J45" s="29"/>
      <c r="K45" s="29"/>
      <c r="L45" s="29">
        <v>37543</v>
      </c>
      <c r="M45" s="29">
        <v>37543</v>
      </c>
      <c r="N45" s="29"/>
      <c r="O45" s="29"/>
      <c r="P45" s="29"/>
    </row>
    <row r="46" spans="1:16" x14ac:dyDescent="0.35">
      <c r="A46" s="26" t="s">
        <v>238</v>
      </c>
      <c r="B46" s="27" t="s">
        <v>163</v>
      </c>
      <c r="C46" s="75">
        <v>37543</v>
      </c>
      <c r="D46" s="29"/>
      <c r="E46" s="29"/>
      <c r="F46" s="29">
        <v>39449</v>
      </c>
      <c r="G46" s="29"/>
      <c r="H46" s="29"/>
      <c r="I46" s="29">
        <v>39449</v>
      </c>
      <c r="J46" s="29"/>
      <c r="K46" s="29"/>
      <c r="L46" s="29">
        <v>39449</v>
      </c>
      <c r="M46" s="29">
        <v>39449</v>
      </c>
      <c r="N46" s="29"/>
      <c r="O46" s="29"/>
      <c r="P46" s="29"/>
    </row>
    <row r="47" spans="1:16" x14ac:dyDescent="0.35">
      <c r="A47" s="26" t="s">
        <v>164</v>
      </c>
      <c r="B47" s="27"/>
      <c r="C47" s="75" t="s">
        <v>243</v>
      </c>
      <c r="D47" s="29"/>
      <c r="E47" s="29"/>
      <c r="F47" s="29" t="s">
        <v>550</v>
      </c>
      <c r="G47" s="58"/>
      <c r="H47" s="29"/>
      <c r="I47" s="29" t="s">
        <v>550</v>
      </c>
      <c r="J47" s="23"/>
      <c r="K47" s="60"/>
      <c r="L47" s="58" t="s">
        <v>550</v>
      </c>
      <c r="M47" s="23" t="s">
        <v>550</v>
      </c>
      <c r="N47" s="60"/>
      <c r="O47" s="29"/>
      <c r="P47" s="29"/>
    </row>
    <row r="48" spans="1:16" x14ac:dyDescent="0.35">
      <c r="A48" s="61" t="s">
        <v>165</v>
      </c>
      <c r="B48" s="62"/>
      <c r="C48" s="75"/>
      <c r="D48" s="29"/>
      <c r="E48" s="29"/>
      <c r="F48" s="29" t="s">
        <v>270</v>
      </c>
      <c r="G48" s="34"/>
      <c r="H48" s="29"/>
      <c r="I48" s="29" t="s">
        <v>270</v>
      </c>
      <c r="J48" s="29"/>
      <c r="K48" s="34"/>
      <c r="L48" s="34" t="s">
        <v>270</v>
      </c>
      <c r="M48" s="29" t="s">
        <v>270</v>
      </c>
      <c r="N48" s="34"/>
      <c r="O48" s="29"/>
      <c r="P48" s="29"/>
    </row>
    <row r="49" spans="1:16" x14ac:dyDescent="0.35">
      <c r="A49" s="225" t="s">
        <v>167</v>
      </c>
      <c r="B49" s="63"/>
      <c r="C49" s="64">
        <f>IFERROR(C46-C45,"")</f>
        <v>-400</v>
      </c>
      <c r="D49" s="64">
        <f t="shared" ref="D49:P49" si="11">IFERROR(D46-D45,"")</f>
        <v>0</v>
      </c>
      <c r="E49" s="64">
        <f t="shared" si="11"/>
        <v>0</v>
      </c>
      <c r="F49" s="64">
        <f t="shared" si="11"/>
        <v>1906</v>
      </c>
      <c r="G49" s="64">
        <f t="shared" si="11"/>
        <v>0</v>
      </c>
      <c r="H49" s="64">
        <f t="shared" si="11"/>
        <v>0</v>
      </c>
      <c r="I49" s="64">
        <f t="shared" si="11"/>
        <v>1906</v>
      </c>
      <c r="J49" s="64">
        <f t="shared" si="11"/>
        <v>0</v>
      </c>
      <c r="K49" s="64">
        <f t="shared" si="11"/>
        <v>0</v>
      </c>
      <c r="L49" s="64">
        <f t="shared" si="11"/>
        <v>1906</v>
      </c>
      <c r="M49" s="64">
        <f t="shared" si="11"/>
        <v>1906</v>
      </c>
      <c r="N49" s="64">
        <f t="shared" si="11"/>
        <v>0</v>
      </c>
      <c r="O49" s="64">
        <f t="shared" si="11"/>
        <v>0</v>
      </c>
      <c r="P49" s="64">
        <f t="shared" si="11"/>
        <v>0</v>
      </c>
    </row>
    <row r="50" spans="1:16" s="68" customFormat="1" x14ac:dyDescent="0.35">
      <c r="A50" s="65" t="s">
        <v>2</v>
      </c>
      <c r="B50" s="66"/>
      <c r="C50" s="71">
        <f>AVERAGE(C35,C42,C49,C28,C21,C14)</f>
        <v>3278.8333333333335</v>
      </c>
      <c r="D50" s="71">
        <f t="shared" ref="D50:P50" si="12">AVERAGE(D35,D42,D49,D28,D21,D14)</f>
        <v>0</v>
      </c>
      <c r="E50" s="71">
        <f t="shared" si="12"/>
        <v>0</v>
      </c>
      <c r="F50" s="71">
        <f t="shared" si="12"/>
        <v>3596.5</v>
      </c>
      <c r="G50" s="71">
        <f t="shared" si="12"/>
        <v>0</v>
      </c>
      <c r="H50" s="71">
        <f t="shared" si="12"/>
        <v>0</v>
      </c>
      <c r="I50" s="71">
        <f t="shared" si="12"/>
        <v>3596.5</v>
      </c>
      <c r="J50" s="71">
        <f t="shared" si="12"/>
        <v>0</v>
      </c>
      <c r="K50" s="71">
        <f t="shared" si="12"/>
        <v>3278.8333333333335</v>
      </c>
      <c r="L50" s="71">
        <f t="shared" si="12"/>
        <v>3596.5</v>
      </c>
      <c r="M50" s="71">
        <f t="shared" si="12"/>
        <v>3596.5</v>
      </c>
      <c r="N50" s="71">
        <f t="shared" si="12"/>
        <v>3596.5</v>
      </c>
      <c r="O50" s="71">
        <f t="shared" si="12"/>
        <v>0</v>
      </c>
      <c r="P50" s="71">
        <f t="shared" si="12"/>
        <v>0</v>
      </c>
    </row>
    <row r="51" spans="1:16" x14ac:dyDescent="0.35">
      <c r="A51" s="21" t="s">
        <v>159</v>
      </c>
      <c r="B51" s="22"/>
      <c r="C51" s="75" t="s">
        <v>243</v>
      </c>
      <c r="D51" s="29"/>
      <c r="E51" s="29"/>
      <c r="F51" s="29"/>
      <c r="G51" s="58"/>
      <c r="H51" s="29"/>
      <c r="I51" s="29"/>
      <c r="J51" s="23"/>
      <c r="K51" s="60"/>
      <c r="L51" s="29"/>
      <c r="M51" s="29"/>
      <c r="N51" s="58"/>
      <c r="O51" s="23"/>
      <c r="P51" s="29"/>
    </row>
    <row r="52" spans="1:16" x14ac:dyDescent="0.35">
      <c r="A52" s="26" t="s">
        <v>238</v>
      </c>
      <c r="B52" s="27" t="s">
        <v>162</v>
      </c>
      <c r="C52" s="75">
        <v>37543</v>
      </c>
      <c r="D52" s="29">
        <f t="shared" ref="C52:I52" si="13">D46</f>
        <v>0</v>
      </c>
      <c r="E52" s="29">
        <f t="shared" si="13"/>
        <v>0</v>
      </c>
      <c r="F52" s="29">
        <f t="shared" si="13"/>
        <v>39449</v>
      </c>
      <c r="G52" s="29"/>
      <c r="H52" s="29">
        <f t="shared" si="13"/>
        <v>0</v>
      </c>
      <c r="I52" s="29">
        <f t="shared" si="13"/>
        <v>39449</v>
      </c>
      <c r="J52" s="29"/>
      <c r="K52" s="29"/>
      <c r="L52" s="29"/>
      <c r="M52" s="29"/>
      <c r="N52" s="29"/>
      <c r="O52" s="29"/>
      <c r="P52" s="29"/>
    </row>
    <row r="53" spans="1:16" x14ac:dyDescent="0.35">
      <c r="A53" s="26" t="s">
        <v>238</v>
      </c>
      <c r="B53" s="27" t="s">
        <v>163</v>
      </c>
      <c r="C53" s="75">
        <v>39449</v>
      </c>
      <c r="D53" s="29"/>
      <c r="E53" s="29"/>
      <c r="F53" s="29"/>
      <c r="G53" s="74"/>
      <c r="H53" s="29"/>
      <c r="I53" s="29"/>
      <c r="J53" s="29"/>
      <c r="K53" s="29"/>
      <c r="L53" s="29"/>
      <c r="M53" s="29"/>
      <c r="N53" s="29"/>
      <c r="O53" s="29"/>
      <c r="P53" s="29"/>
    </row>
    <row r="54" spans="1:16" x14ac:dyDescent="0.35">
      <c r="A54" s="26" t="s">
        <v>164</v>
      </c>
      <c r="B54" s="27"/>
      <c r="C54" s="75" t="s">
        <v>550</v>
      </c>
      <c r="D54" s="29"/>
      <c r="E54" s="29"/>
      <c r="F54" s="29"/>
      <c r="G54" s="60"/>
      <c r="H54" s="29"/>
      <c r="I54" s="29"/>
      <c r="J54" s="23"/>
      <c r="K54" s="60"/>
      <c r="L54" s="29"/>
      <c r="M54" s="29"/>
      <c r="N54" s="58"/>
      <c r="O54" s="29"/>
      <c r="P54" s="29"/>
    </row>
    <row r="55" spans="1:16" x14ac:dyDescent="0.35">
      <c r="A55" s="61" t="s">
        <v>165</v>
      </c>
      <c r="B55" s="62"/>
      <c r="C55" s="75" t="s">
        <v>270</v>
      </c>
      <c r="D55" s="29"/>
      <c r="E55" s="29"/>
      <c r="F55" s="29"/>
      <c r="G55" s="34"/>
      <c r="H55" s="29"/>
      <c r="I55" s="29"/>
      <c r="J55" s="29"/>
      <c r="K55" s="34"/>
      <c r="L55" s="29"/>
      <c r="M55" s="29"/>
      <c r="N55" s="34"/>
      <c r="O55" s="29"/>
      <c r="P55" s="29"/>
    </row>
    <row r="56" spans="1:16" x14ac:dyDescent="0.35">
      <c r="A56" s="225" t="s">
        <v>167</v>
      </c>
      <c r="B56" s="63"/>
      <c r="C56" s="64">
        <f>IFERROR(C53-C52,"")</f>
        <v>1906</v>
      </c>
      <c r="D56" s="64">
        <f t="shared" ref="D56:P56" si="14">IFERROR(D53-D52,"")</f>
        <v>0</v>
      </c>
      <c r="E56" s="64">
        <f t="shared" si="14"/>
        <v>0</v>
      </c>
      <c r="F56" s="64">
        <f t="shared" si="14"/>
        <v>-39449</v>
      </c>
      <c r="G56" s="64">
        <f t="shared" si="14"/>
        <v>0</v>
      </c>
      <c r="H56" s="64">
        <f t="shared" si="14"/>
        <v>0</v>
      </c>
      <c r="I56" s="64">
        <f t="shared" si="14"/>
        <v>-39449</v>
      </c>
      <c r="J56" s="64">
        <f t="shared" si="14"/>
        <v>0</v>
      </c>
      <c r="K56" s="64">
        <f t="shared" si="14"/>
        <v>0</v>
      </c>
      <c r="L56" s="64">
        <f t="shared" si="14"/>
        <v>0</v>
      </c>
      <c r="M56" s="64">
        <f t="shared" si="14"/>
        <v>0</v>
      </c>
      <c r="N56" s="64">
        <f t="shared" si="14"/>
        <v>0</v>
      </c>
      <c r="O56" s="64">
        <f t="shared" si="14"/>
        <v>0</v>
      </c>
      <c r="P56" s="64">
        <f t="shared" si="14"/>
        <v>0</v>
      </c>
    </row>
    <row r="57" spans="1:16" s="68" customFormat="1" x14ac:dyDescent="0.35">
      <c r="A57" s="65" t="s">
        <v>2</v>
      </c>
      <c r="B57" s="66"/>
      <c r="C57" s="71">
        <f>AVERAGE(C42,C49,C56,C35,C28,C21,C14)</f>
        <v>3082.7142857142858</v>
      </c>
      <c r="D57" s="71">
        <f t="shared" ref="D57:P57" si="15">AVERAGE(D42,D49,D56,D35,D28,D21,D14)</f>
        <v>0</v>
      </c>
      <c r="E57" s="71">
        <f t="shared" si="15"/>
        <v>0</v>
      </c>
      <c r="F57" s="71">
        <f t="shared" si="15"/>
        <v>-2552.8571428571427</v>
      </c>
      <c r="G57" s="71">
        <f t="shared" si="15"/>
        <v>0</v>
      </c>
      <c r="H57" s="71">
        <f t="shared" si="15"/>
        <v>0</v>
      </c>
      <c r="I57" s="71">
        <f t="shared" si="15"/>
        <v>-2552.8571428571427</v>
      </c>
      <c r="J57" s="71">
        <f t="shared" si="15"/>
        <v>0</v>
      </c>
      <c r="K57" s="71">
        <f t="shared" si="15"/>
        <v>2810.4285714285716</v>
      </c>
      <c r="L57" s="71">
        <f t="shared" si="15"/>
        <v>3082.7142857142858</v>
      </c>
      <c r="M57" s="71">
        <f t="shared" si="15"/>
        <v>3082.7142857142858</v>
      </c>
      <c r="N57" s="71">
        <f t="shared" si="15"/>
        <v>3082.7142857142858</v>
      </c>
      <c r="O57" s="71">
        <f t="shared" si="15"/>
        <v>0</v>
      </c>
      <c r="P57" s="71">
        <f t="shared" si="15"/>
        <v>0</v>
      </c>
    </row>
    <row r="58" spans="1:16" x14ac:dyDescent="0.35">
      <c r="A58" s="21" t="s">
        <v>159</v>
      </c>
      <c r="B58" s="22"/>
      <c r="C58" s="75"/>
      <c r="D58" s="29"/>
      <c r="E58" s="29"/>
      <c r="F58" s="29"/>
      <c r="G58" s="29"/>
      <c r="H58" s="29"/>
      <c r="I58" s="29"/>
      <c r="J58" s="23"/>
      <c r="K58" s="29"/>
      <c r="L58" s="29"/>
      <c r="M58" s="29"/>
      <c r="N58" s="58"/>
      <c r="O58" s="23"/>
      <c r="P58" s="29"/>
    </row>
    <row r="59" spans="1:16" x14ac:dyDescent="0.35">
      <c r="A59" s="26" t="s">
        <v>238</v>
      </c>
      <c r="B59" s="27" t="s">
        <v>162</v>
      </c>
      <c r="C59" s="75">
        <f t="shared" ref="C59:I59" si="16">C53</f>
        <v>39449</v>
      </c>
      <c r="D59" s="29">
        <f t="shared" si="16"/>
        <v>0</v>
      </c>
      <c r="E59" s="29">
        <f t="shared" si="16"/>
        <v>0</v>
      </c>
      <c r="F59" s="29">
        <f t="shared" si="16"/>
        <v>0</v>
      </c>
      <c r="G59" s="29">
        <f t="shared" si="16"/>
        <v>0</v>
      </c>
      <c r="H59" s="29">
        <f t="shared" si="16"/>
        <v>0</v>
      </c>
      <c r="I59" s="29">
        <f t="shared" si="16"/>
        <v>0</v>
      </c>
      <c r="J59" s="29"/>
      <c r="K59" s="29"/>
      <c r="L59" s="29"/>
      <c r="M59" s="29"/>
      <c r="N59" s="29"/>
      <c r="O59" s="29"/>
      <c r="P59" s="29"/>
    </row>
    <row r="60" spans="1:16" x14ac:dyDescent="0.35">
      <c r="A60" s="26" t="s">
        <v>238</v>
      </c>
      <c r="B60" s="27" t="s">
        <v>163</v>
      </c>
      <c r="C60" s="75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</row>
    <row r="61" spans="1:16" x14ac:dyDescent="0.35">
      <c r="A61" s="26" t="s">
        <v>164</v>
      </c>
      <c r="B61" s="27"/>
      <c r="C61" s="75"/>
      <c r="D61" s="29"/>
      <c r="E61" s="29"/>
      <c r="F61" s="29"/>
      <c r="G61" s="29"/>
      <c r="H61" s="29"/>
      <c r="I61" s="29"/>
      <c r="J61" s="23"/>
      <c r="K61" s="29"/>
      <c r="L61" s="29"/>
      <c r="M61" s="29"/>
      <c r="N61" s="58"/>
      <c r="O61" s="29"/>
      <c r="P61" s="29"/>
    </row>
    <row r="62" spans="1:16" x14ac:dyDescent="0.35">
      <c r="A62" s="61" t="s">
        <v>165</v>
      </c>
      <c r="B62" s="62"/>
      <c r="C62" s="75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34"/>
      <c r="O62" s="29"/>
      <c r="P62" s="29"/>
    </row>
    <row r="63" spans="1:16" x14ac:dyDescent="0.35">
      <c r="A63" s="225" t="s">
        <v>167</v>
      </c>
      <c r="B63" s="63"/>
      <c r="C63" s="64">
        <f>IFERROR(C60-C59,"")</f>
        <v>-39449</v>
      </c>
      <c r="D63" s="64">
        <f t="shared" ref="D63:P63" si="17">IFERROR(D60-D59,"")</f>
        <v>0</v>
      </c>
      <c r="E63" s="64">
        <f t="shared" si="17"/>
        <v>0</v>
      </c>
      <c r="F63" s="64">
        <f t="shared" si="17"/>
        <v>0</v>
      </c>
      <c r="G63" s="64">
        <f t="shared" si="17"/>
        <v>0</v>
      </c>
      <c r="H63" s="64">
        <f t="shared" si="17"/>
        <v>0</v>
      </c>
      <c r="I63" s="64">
        <f t="shared" si="17"/>
        <v>0</v>
      </c>
      <c r="J63" s="64">
        <f t="shared" si="17"/>
        <v>0</v>
      </c>
      <c r="K63" s="64">
        <f t="shared" si="17"/>
        <v>0</v>
      </c>
      <c r="L63" s="64">
        <f t="shared" si="17"/>
        <v>0</v>
      </c>
      <c r="M63" s="64">
        <f t="shared" si="17"/>
        <v>0</v>
      </c>
      <c r="N63" s="64">
        <f t="shared" si="17"/>
        <v>0</v>
      </c>
      <c r="O63" s="64">
        <f t="shared" si="17"/>
        <v>0</v>
      </c>
      <c r="P63" s="64">
        <f t="shared" si="17"/>
        <v>0</v>
      </c>
    </row>
    <row r="64" spans="1:16" s="68" customFormat="1" x14ac:dyDescent="0.35">
      <c r="A64" s="65" t="s">
        <v>2</v>
      </c>
      <c r="B64" s="66"/>
      <c r="C64" s="71">
        <f>AVERAGE(C49,C56,C63,C42,C35,C28,C21,C14)</f>
        <v>-2233.75</v>
      </c>
      <c r="D64" s="71">
        <f t="shared" ref="D64:P64" si="18">AVERAGE(D49,D56,D63,D42,D35,D28,D21,D14)</f>
        <v>0</v>
      </c>
      <c r="E64" s="71">
        <f t="shared" si="18"/>
        <v>0</v>
      </c>
      <c r="F64" s="71">
        <f t="shared" si="18"/>
        <v>-2233.75</v>
      </c>
      <c r="G64" s="71">
        <f t="shared" si="18"/>
        <v>0</v>
      </c>
      <c r="H64" s="71">
        <f t="shared" si="18"/>
        <v>0</v>
      </c>
      <c r="I64" s="71">
        <f t="shared" si="18"/>
        <v>-2233.75</v>
      </c>
      <c r="J64" s="71">
        <f t="shared" si="18"/>
        <v>0</v>
      </c>
      <c r="K64" s="71">
        <f t="shared" si="18"/>
        <v>2459.125</v>
      </c>
      <c r="L64" s="71">
        <f t="shared" si="18"/>
        <v>2697.375</v>
      </c>
      <c r="M64" s="71">
        <f t="shared" si="18"/>
        <v>2697.375</v>
      </c>
      <c r="N64" s="71">
        <f t="shared" si="18"/>
        <v>2697.375</v>
      </c>
      <c r="O64" s="71">
        <f t="shared" si="18"/>
        <v>0</v>
      </c>
      <c r="P64" s="71">
        <f t="shared" si="18"/>
        <v>0</v>
      </c>
    </row>
    <row r="65" spans="1:16" x14ac:dyDescent="0.35">
      <c r="A65" s="21" t="s">
        <v>159</v>
      </c>
      <c r="B65" s="22"/>
      <c r="C65" s="75"/>
      <c r="D65" s="29"/>
      <c r="E65" s="29"/>
      <c r="F65" s="29"/>
      <c r="G65" s="29"/>
      <c r="H65" s="29"/>
      <c r="I65" s="29"/>
      <c r="J65" s="23"/>
      <c r="K65" s="29"/>
      <c r="L65" s="29"/>
      <c r="M65" s="29"/>
      <c r="N65" s="58"/>
      <c r="O65" s="23"/>
      <c r="P65" s="29"/>
    </row>
    <row r="66" spans="1:16" x14ac:dyDescent="0.35">
      <c r="A66" s="26" t="s">
        <v>238</v>
      </c>
      <c r="B66" s="27" t="s">
        <v>162</v>
      </c>
      <c r="C66" s="75">
        <f t="shared" ref="C66:O66" si="19">C60</f>
        <v>0</v>
      </c>
      <c r="D66" s="29">
        <f t="shared" si="19"/>
        <v>0</v>
      </c>
      <c r="E66" s="29">
        <f t="shared" si="19"/>
        <v>0</v>
      </c>
      <c r="F66" s="29">
        <f t="shared" si="19"/>
        <v>0</v>
      </c>
      <c r="G66" s="29">
        <f t="shared" si="19"/>
        <v>0</v>
      </c>
      <c r="H66" s="29">
        <f t="shared" si="19"/>
        <v>0</v>
      </c>
      <c r="I66" s="29">
        <f t="shared" si="19"/>
        <v>0</v>
      </c>
      <c r="J66" s="29">
        <f t="shared" si="19"/>
        <v>0</v>
      </c>
      <c r="K66" s="29">
        <f t="shared" si="19"/>
        <v>0</v>
      </c>
      <c r="L66" s="29">
        <f t="shared" si="19"/>
        <v>0</v>
      </c>
      <c r="M66" s="29">
        <f t="shared" si="19"/>
        <v>0</v>
      </c>
      <c r="N66" s="29"/>
      <c r="O66" s="29">
        <f t="shared" si="19"/>
        <v>0</v>
      </c>
      <c r="P66" s="29"/>
    </row>
    <row r="67" spans="1:16" x14ac:dyDescent="0.35">
      <c r="A67" s="26" t="s">
        <v>238</v>
      </c>
      <c r="B67" s="27" t="s">
        <v>163</v>
      </c>
      <c r="C67" s="75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74"/>
      <c r="O67" s="29"/>
      <c r="P67" s="29"/>
    </row>
    <row r="68" spans="1:16" x14ac:dyDescent="0.35">
      <c r="A68" s="26" t="s">
        <v>164</v>
      </c>
      <c r="B68" s="27"/>
      <c r="C68" s="75"/>
      <c r="D68" s="29"/>
      <c r="E68" s="29"/>
      <c r="F68" s="29"/>
      <c r="G68" s="29"/>
      <c r="H68" s="29"/>
      <c r="I68" s="29"/>
      <c r="J68" s="23"/>
      <c r="K68" s="29"/>
      <c r="L68" s="29"/>
      <c r="M68" s="29"/>
      <c r="N68" s="60"/>
      <c r="O68" s="29"/>
      <c r="P68" s="29"/>
    </row>
    <row r="69" spans="1:16" x14ac:dyDescent="0.35">
      <c r="A69" s="61" t="s">
        <v>165</v>
      </c>
      <c r="B69" s="62"/>
      <c r="C69" s="75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34"/>
      <c r="O69" s="29"/>
      <c r="P69" s="29"/>
    </row>
    <row r="70" spans="1:16" x14ac:dyDescent="0.35">
      <c r="A70" s="225" t="s">
        <v>167</v>
      </c>
      <c r="B70" s="63"/>
      <c r="C70" s="64">
        <f>IFERROR(C67-C66,"")</f>
        <v>0</v>
      </c>
      <c r="D70" s="64">
        <f t="shared" ref="D70:P70" si="20">IFERROR(D67-D66,"")</f>
        <v>0</v>
      </c>
      <c r="E70" s="64">
        <f t="shared" si="20"/>
        <v>0</v>
      </c>
      <c r="F70" s="64">
        <f t="shared" si="20"/>
        <v>0</v>
      </c>
      <c r="G70" s="64">
        <f t="shared" si="20"/>
        <v>0</v>
      </c>
      <c r="H70" s="64">
        <f t="shared" si="20"/>
        <v>0</v>
      </c>
      <c r="I70" s="64">
        <f t="shared" si="20"/>
        <v>0</v>
      </c>
      <c r="J70" s="64">
        <f t="shared" si="20"/>
        <v>0</v>
      </c>
      <c r="K70" s="64">
        <f t="shared" si="20"/>
        <v>0</v>
      </c>
      <c r="L70" s="64">
        <f t="shared" si="20"/>
        <v>0</v>
      </c>
      <c r="M70" s="64">
        <f t="shared" si="20"/>
        <v>0</v>
      </c>
      <c r="N70" s="64">
        <f t="shared" si="20"/>
        <v>0</v>
      </c>
      <c r="O70" s="64">
        <f t="shared" si="20"/>
        <v>0</v>
      </c>
      <c r="P70" s="64">
        <f t="shared" si="20"/>
        <v>0</v>
      </c>
    </row>
    <row r="71" spans="1:16" s="68" customFormat="1" x14ac:dyDescent="0.35">
      <c r="A71" s="65" t="s">
        <v>2</v>
      </c>
      <c r="B71" s="66"/>
      <c r="C71" s="71">
        <f>AVERAGE(C56,C63,C70,C49,C42,C35,C28,C21,C14)</f>
        <v>-1985.5555555555557</v>
      </c>
      <c r="D71" s="71">
        <f t="shared" ref="D71:P71" si="21">AVERAGE(D56,D63,D70,D49,D42,D35,D28,D21,D14)</f>
        <v>0</v>
      </c>
      <c r="E71" s="71">
        <f t="shared" si="21"/>
        <v>0</v>
      </c>
      <c r="F71" s="71">
        <f t="shared" si="21"/>
        <v>-1985.5555555555557</v>
      </c>
      <c r="G71" s="71">
        <f t="shared" si="21"/>
        <v>0</v>
      </c>
      <c r="H71" s="71">
        <f t="shared" si="21"/>
        <v>0</v>
      </c>
      <c r="I71" s="71">
        <f t="shared" si="21"/>
        <v>-1985.5555555555557</v>
      </c>
      <c r="J71" s="71">
        <f t="shared" si="21"/>
        <v>0</v>
      </c>
      <c r="K71" s="71">
        <f t="shared" si="21"/>
        <v>2185.8888888888887</v>
      </c>
      <c r="L71" s="71">
        <f t="shared" si="21"/>
        <v>2397.6666666666665</v>
      </c>
      <c r="M71" s="71">
        <f t="shared" si="21"/>
        <v>2397.6666666666665</v>
      </c>
      <c r="N71" s="71">
        <f t="shared" si="21"/>
        <v>2397.6666666666665</v>
      </c>
      <c r="O71" s="71">
        <f t="shared" si="21"/>
        <v>0</v>
      </c>
      <c r="P71" s="71">
        <f t="shared" si="21"/>
        <v>0</v>
      </c>
    </row>
    <row r="72" spans="1:16" x14ac:dyDescent="0.35">
      <c r="A72" s="21" t="s">
        <v>159</v>
      </c>
      <c r="B72" s="22"/>
      <c r="C72" s="75"/>
      <c r="D72" s="29"/>
      <c r="E72" s="29"/>
      <c r="F72" s="29"/>
      <c r="G72" s="29"/>
      <c r="H72" s="29"/>
      <c r="I72" s="29"/>
      <c r="J72" s="23"/>
      <c r="K72" s="29"/>
      <c r="L72" s="29"/>
      <c r="M72" s="29"/>
      <c r="N72" s="29"/>
      <c r="O72" s="23"/>
      <c r="P72" s="29"/>
    </row>
    <row r="73" spans="1:16" x14ac:dyDescent="0.35">
      <c r="A73" s="26" t="s">
        <v>238</v>
      </c>
      <c r="B73" s="27" t="s">
        <v>162</v>
      </c>
      <c r="C73" s="75">
        <f t="shared" ref="C73:P73" si="22">C67</f>
        <v>0</v>
      </c>
      <c r="D73" s="29">
        <f t="shared" si="22"/>
        <v>0</v>
      </c>
      <c r="E73" s="29">
        <f t="shared" si="22"/>
        <v>0</v>
      </c>
      <c r="F73" s="29">
        <f t="shared" si="22"/>
        <v>0</v>
      </c>
      <c r="G73" s="29">
        <f t="shared" si="22"/>
        <v>0</v>
      </c>
      <c r="H73" s="29">
        <f t="shared" si="22"/>
        <v>0</v>
      </c>
      <c r="I73" s="29">
        <f t="shared" si="22"/>
        <v>0</v>
      </c>
      <c r="J73" s="29">
        <f t="shared" si="22"/>
        <v>0</v>
      </c>
      <c r="K73" s="29">
        <f t="shared" si="22"/>
        <v>0</v>
      </c>
      <c r="L73" s="29">
        <f t="shared" si="22"/>
        <v>0</v>
      </c>
      <c r="M73" s="29">
        <f t="shared" si="22"/>
        <v>0</v>
      </c>
      <c r="N73" s="29">
        <f>N67</f>
        <v>0</v>
      </c>
      <c r="O73" s="29">
        <f t="shared" si="22"/>
        <v>0</v>
      </c>
      <c r="P73" s="29">
        <f t="shared" si="22"/>
        <v>0</v>
      </c>
    </row>
    <row r="74" spans="1:16" x14ac:dyDescent="0.35">
      <c r="A74" s="26" t="s">
        <v>238</v>
      </c>
      <c r="B74" s="27" t="s">
        <v>163</v>
      </c>
      <c r="C74" s="75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</row>
    <row r="75" spans="1:16" x14ac:dyDescent="0.35">
      <c r="A75" s="26" t="s">
        <v>164</v>
      </c>
      <c r="B75" s="27"/>
      <c r="C75" s="75"/>
      <c r="D75" s="29"/>
      <c r="E75" s="29"/>
      <c r="F75" s="29"/>
      <c r="G75" s="29"/>
      <c r="H75" s="29"/>
      <c r="I75" s="29"/>
      <c r="J75" s="23"/>
      <c r="K75" s="29"/>
      <c r="L75" s="29"/>
      <c r="M75" s="29"/>
      <c r="N75" s="29"/>
      <c r="O75" s="29"/>
      <c r="P75" s="29"/>
    </row>
    <row r="76" spans="1:16" x14ac:dyDescent="0.35">
      <c r="A76" s="61" t="s">
        <v>165</v>
      </c>
      <c r="B76" s="62"/>
      <c r="C76" s="75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</row>
    <row r="77" spans="1:16" x14ac:dyDescent="0.35">
      <c r="A77" s="225" t="s">
        <v>167</v>
      </c>
      <c r="B77" s="63"/>
      <c r="C77" s="64">
        <f>IFERROR(C74-C73,"")</f>
        <v>0</v>
      </c>
      <c r="D77" s="64">
        <f t="shared" ref="D77:P77" si="23">IFERROR(D74-D73,"")</f>
        <v>0</v>
      </c>
      <c r="E77" s="64">
        <f t="shared" si="23"/>
        <v>0</v>
      </c>
      <c r="F77" s="64">
        <f t="shared" si="23"/>
        <v>0</v>
      </c>
      <c r="G77" s="64">
        <f t="shared" si="23"/>
        <v>0</v>
      </c>
      <c r="H77" s="64">
        <f t="shared" si="23"/>
        <v>0</v>
      </c>
      <c r="I77" s="64">
        <f t="shared" si="23"/>
        <v>0</v>
      </c>
      <c r="J77" s="64">
        <f t="shared" si="23"/>
        <v>0</v>
      </c>
      <c r="K77" s="64">
        <f t="shared" si="23"/>
        <v>0</v>
      </c>
      <c r="L77" s="64">
        <f t="shared" si="23"/>
        <v>0</v>
      </c>
      <c r="M77" s="64">
        <f t="shared" si="23"/>
        <v>0</v>
      </c>
      <c r="N77" s="64">
        <f t="shared" si="23"/>
        <v>0</v>
      </c>
      <c r="O77" s="64">
        <f t="shared" si="23"/>
        <v>0</v>
      </c>
      <c r="P77" s="64">
        <f t="shared" si="23"/>
        <v>0</v>
      </c>
    </row>
    <row r="78" spans="1:16" s="68" customFormat="1" x14ac:dyDescent="0.35">
      <c r="A78" s="65" t="s">
        <v>2</v>
      </c>
      <c r="B78" s="66"/>
      <c r="C78" s="71">
        <f>AVERAGE(C63,C70,C77,C56,C49,C42,C35,C28,C21,C14)</f>
        <v>-1787</v>
      </c>
      <c r="D78" s="71">
        <f t="shared" ref="D78:P78" si="24">AVERAGE(D63,D70,D77,D56,D49,D42,D35,D28,D21,D14)</f>
        <v>0</v>
      </c>
      <c r="E78" s="71">
        <f t="shared" si="24"/>
        <v>0</v>
      </c>
      <c r="F78" s="71">
        <f t="shared" si="24"/>
        <v>-1787</v>
      </c>
      <c r="G78" s="71">
        <f t="shared" si="24"/>
        <v>0</v>
      </c>
      <c r="H78" s="71">
        <f t="shared" si="24"/>
        <v>0</v>
      </c>
      <c r="I78" s="71">
        <f t="shared" si="24"/>
        <v>-1787</v>
      </c>
      <c r="J78" s="71">
        <f t="shared" si="24"/>
        <v>0</v>
      </c>
      <c r="K78" s="71">
        <f t="shared" si="24"/>
        <v>1967.3</v>
      </c>
      <c r="L78" s="71">
        <f t="shared" si="24"/>
        <v>2157.9</v>
      </c>
      <c r="M78" s="71">
        <f t="shared" si="24"/>
        <v>2157.9</v>
      </c>
      <c r="N78" s="71">
        <f t="shared" si="24"/>
        <v>2157.9</v>
      </c>
      <c r="O78" s="71">
        <f t="shared" si="24"/>
        <v>0</v>
      </c>
      <c r="P78" s="71">
        <f t="shared" si="24"/>
        <v>0</v>
      </c>
    </row>
    <row r="79" spans="1:16" x14ac:dyDescent="0.35">
      <c r="A79" s="21" t="s">
        <v>159</v>
      </c>
      <c r="B79" s="22"/>
      <c r="C79" s="75"/>
      <c r="D79" s="29"/>
      <c r="E79" s="29"/>
      <c r="F79" s="29"/>
      <c r="G79" s="29"/>
      <c r="H79" s="29"/>
      <c r="I79" s="29"/>
      <c r="J79" s="23"/>
      <c r="K79" s="29"/>
      <c r="L79" s="29"/>
      <c r="M79" s="29"/>
      <c r="N79" s="29"/>
      <c r="O79" s="23"/>
      <c r="P79" s="29"/>
    </row>
    <row r="80" spans="1:16" x14ac:dyDescent="0.35">
      <c r="A80" s="26" t="s">
        <v>238</v>
      </c>
      <c r="B80" s="27" t="s">
        <v>162</v>
      </c>
      <c r="C80" s="75">
        <f t="shared" ref="C80:P80" si="25">C74</f>
        <v>0</v>
      </c>
      <c r="D80" s="29">
        <f t="shared" si="25"/>
        <v>0</v>
      </c>
      <c r="E80" s="29">
        <f t="shared" si="25"/>
        <v>0</v>
      </c>
      <c r="F80" s="29">
        <f t="shared" si="25"/>
        <v>0</v>
      </c>
      <c r="G80" s="29">
        <f t="shared" si="25"/>
        <v>0</v>
      </c>
      <c r="H80" s="29">
        <f t="shared" si="25"/>
        <v>0</v>
      </c>
      <c r="I80" s="29">
        <f t="shared" si="25"/>
        <v>0</v>
      </c>
      <c r="J80" s="29">
        <f t="shared" si="25"/>
        <v>0</v>
      </c>
      <c r="K80" s="29">
        <f t="shared" si="25"/>
        <v>0</v>
      </c>
      <c r="L80" s="29">
        <f t="shared" si="25"/>
        <v>0</v>
      </c>
      <c r="M80" s="29">
        <f t="shared" si="25"/>
        <v>0</v>
      </c>
      <c r="N80" s="29">
        <f>N74</f>
        <v>0</v>
      </c>
      <c r="O80" s="29">
        <f t="shared" si="25"/>
        <v>0</v>
      </c>
      <c r="P80" s="29">
        <f t="shared" si="25"/>
        <v>0</v>
      </c>
    </row>
    <row r="81" spans="1:16" x14ac:dyDescent="0.35">
      <c r="A81" s="26" t="s">
        <v>238</v>
      </c>
      <c r="B81" s="27" t="s">
        <v>163</v>
      </c>
      <c r="C81" s="75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1:16" x14ac:dyDescent="0.35">
      <c r="A82" s="26" t="s">
        <v>164</v>
      </c>
      <c r="B82" s="27"/>
      <c r="C82" s="75"/>
      <c r="D82" s="29"/>
      <c r="E82" s="29"/>
      <c r="F82" s="29"/>
      <c r="G82" s="29"/>
      <c r="H82" s="29"/>
      <c r="I82" s="29"/>
      <c r="J82" s="23"/>
      <c r="K82" s="29"/>
      <c r="L82" s="29"/>
      <c r="M82" s="29"/>
      <c r="N82" s="29"/>
      <c r="O82" s="29"/>
      <c r="P82" s="29"/>
    </row>
    <row r="83" spans="1:16" x14ac:dyDescent="0.35">
      <c r="A83" s="61" t="s">
        <v>165</v>
      </c>
      <c r="B83" s="62"/>
      <c r="C83" s="75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</row>
    <row r="84" spans="1:16" x14ac:dyDescent="0.35">
      <c r="A84" s="225" t="s">
        <v>167</v>
      </c>
      <c r="B84" s="63"/>
      <c r="C84" s="64">
        <f>IFERROR(C81-C80,"")</f>
        <v>0</v>
      </c>
      <c r="D84" s="64">
        <f t="shared" ref="D84:P84" si="26">IFERROR(D81-D80,"")</f>
        <v>0</v>
      </c>
      <c r="E84" s="64">
        <f t="shared" si="26"/>
        <v>0</v>
      </c>
      <c r="F84" s="64">
        <f t="shared" si="26"/>
        <v>0</v>
      </c>
      <c r="G84" s="64">
        <f t="shared" si="26"/>
        <v>0</v>
      </c>
      <c r="H84" s="64">
        <f t="shared" si="26"/>
        <v>0</v>
      </c>
      <c r="I84" s="64">
        <f t="shared" si="26"/>
        <v>0</v>
      </c>
      <c r="J84" s="64">
        <f t="shared" si="26"/>
        <v>0</v>
      </c>
      <c r="K84" s="64">
        <f t="shared" si="26"/>
        <v>0</v>
      </c>
      <c r="L84" s="64">
        <f t="shared" si="26"/>
        <v>0</v>
      </c>
      <c r="M84" s="64">
        <f t="shared" si="26"/>
        <v>0</v>
      </c>
      <c r="N84" s="64">
        <f t="shared" si="26"/>
        <v>0</v>
      </c>
      <c r="O84" s="64">
        <f t="shared" si="26"/>
        <v>0</v>
      </c>
      <c r="P84" s="64">
        <f t="shared" si="26"/>
        <v>0</v>
      </c>
    </row>
    <row r="85" spans="1:16" s="68" customFormat="1" x14ac:dyDescent="0.35">
      <c r="A85" s="65" t="s">
        <v>2</v>
      </c>
      <c r="B85" s="66"/>
      <c r="C85" s="71">
        <f>AVERAGE(C70,C77,C84,C63,C56,C49,C42,C35,C28,C21,C14)</f>
        <v>-1624.5454545454545</v>
      </c>
      <c r="D85" s="71">
        <f t="shared" ref="D85:P85" si="27">AVERAGE(D70,D77,D84,D63,D56,D49,D42,D35,D28,D21,D14)</f>
        <v>0</v>
      </c>
      <c r="E85" s="71">
        <f t="shared" si="27"/>
        <v>0</v>
      </c>
      <c r="F85" s="71">
        <f t="shared" si="27"/>
        <v>-1624.5454545454545</v>
      </c>
      <c r="G85" s="71">
        <f t="shared" si="27"/>
        <v>0</v>
      </c>
      <c r="H85" s="71">
        <f t="shared" si="27"/>
        <v>0</v>
      </c>
      <c r="I85" s="71">
        <f t="shared" si="27"/>
        <v>-1624.5454545454545</v>
      </c>
      <c r="J85" s="71">
        <f t="shared" si="27"/>
        <v>0</v>
      </c>
      <c r="K85" s="71">
        <f t="shared" si="27"/>
        <v>1788.4545454545455</v>
      </c>
      <c r="L85" s="71">
        <f t="shared" si="27"/>
        <v>1961.7272727272727</v>
      </c>
      <c r="M85" s="71">
        <f t="shared" si="27"/>
        <v>1961.7272727272727</v>
      </c>
      <c r="N85" s="71">
        <f t="shared" si="27"/>
        <v>1961.7272727272727</v>
      </c>
      <c r="O85" s="71">
        <f t="shared" si="27"/>
        <v>0</v>
      </c>
      <c r="P85" s="71">
        <f t="shared" si="27"/>
        <v>0</v>
      </c>
    </row>
    <row r="86" spans="1:16" x14ac:dyDescent="0.35">
      <c r="A86" s="21" t="s">
        <v>159</v>
      </c>
      <c r="B86" s="22"/>
      <c r="C86" s="75"/>
      <c r="D86" s="29"/>
      <c r="E86" s="29"/>
      <c r="F86" s="29"/>
      <c r="G86" s="29"/>
      <c r="H86" s="29"/>
      <c r="I86" s="29"/>
      <c r="J86" s="23"/>
      <c r="K86" s="29"/>
      <c r="L86" s="29"/>
      <c r="M86" s="29"/>
      <c r="N86" s="29"/>
      <c r="O86" s="23"/>
      <c r="P86" s="29"/>
    </row>
    <row r="87" spans="1:16" x14ac:dyDescent="0.35">
      <c r="A87" s="26" t="s">
        <v>238</v>
      </c>
      <c r="B87" s="27" t="s">
        <v>162</v>
      </c>
      <c r="C87" s="75">
        <f t="shared" ref="C87:P87" si="28">C81</f>
        <v>0</v>
      </c>
      <c r="D87" s="29">
        <f t="shared" si="28"/>
        <v>0</v>
      </c>
      <c r="E87" s="29">
        <f t="shared" si="28"/>
        <v>0</v>
      </c>
      <c r="F87" s="29">
        <f t="shared" si="28"/>
        <v>0</v>
      </c>
      <c r="G87" s="29">
        <f t="shared" si="28"/>
        <v>0</v>
      </c>
      <c r="H87" s="29">
        <f t="shared" si="28"/>
        <v>0</v>
      </c>
      <c r="I87" s="29">
        <f t="shared" si="28"/>
        <v>0</v>
      </c>
      <c r="J87" s="29">
        <f t="shared" si="28"/>
        <v>0</v>
      </c>
      <c r="K87" s="29">
        <f t="shared" si="28"/>
        <v>0</v>
      </c>
      <c r="L87" s="29">
        <f t="shared" si="28"/>
        <v>0</v>
      </c>
      <c r="M87" s="29">
        <f t="shared" si="28"/>
        <v>0</v>
      </c>
      <c r="N87" s="29">
        <f>N81</f>
        <v>0</v>
      </c>
      <c r="O87" s="29">
        <f t="shared" si="28"/>
        <v>0</v>
      </c>
      <c r="P87" s="29">
        <f t="shared" si="28"/>
        <v>0</v>
      </c>
    </row>
    <row r="88" spans="1:16" x14ac:dyDescent="0.35">
      <c r="A88" s="26" t="s">
        <v>238</v>
      </c>
      <c r="B88" s="27" t="s">
        <v>163</v>
      </c>
      <c r="C88" s="75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</row>
    <row r="89" spans="1:16" x14ac:dyDescent="0.35">
      <c r="A89" s="26" t="s">
        <v>164</v>
      </c>
      <c r="B89" s="27"/>
      <c r="C89" s="75"/>
      <c r="D89" s="29"/>
      <c r="E89" s="29"/>
      <c r="F89" s="29"/>
      <c r="G89" s="29"/>
      <c r="H89" s="29"/>
      <c r="I89" s="29"/>
      <c r="J89" s="23"/>
      <c r="K89" s="29"/>
      <c r="L89" s="29"/>
      <c r="M89" s="29"/>
      <c r="N89" s="29"/>
      <c r="O89" s="29"/>
      <c r="P89" s="29"/>
    </row>
    <row r="90" spans="1:16" x14ac:dyDescent="0.35">
      <c r="A90" s="61" t="s">
        <v>165</v>
      </c>
      <c r="B90" s="62"/>
      <c r="C90" s="75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</row>
    <row r="91" spans="1:16" x14ac:dyDescent="0.35">
      <c r="A91" s="225" t="s">
        <v>167</v>
      </c>
      <c r="B91" s="63"/>
      <c r="C91" s="64">
        <f>IFERROR(C88-C87,"")</f>
        <v>0</v>
      </c>
      <c r="D91" s="64">
        <f t="shared" ref="D91:P91" si="29">IFERROR(D88-D87,"")</f>
        <v>0</v>
      </c>
      <c r="E91" s="64">
        <f t="shared" si="29"/>
        <v>0</v>
      </c>
      <c r="F91" s="64">
        <f t="shared" si="29"/>
        <v>0</v>
      </c>
      <c r="G91" s="64">
        <f t="shared" si="29"/>
        <v>0</v>
      </c>
      <c r="H91" s="64">
        <f t="shared" si="29"/>
        <v>0</v>
      </c>
      <c r="I91" s="64">
        <f t="shared" si="29"/>
        <v>0</v>
      </c>
      <c r="J91" s="64">
        <f t="shared" si="29"/>
        <v>0</v>
      </c>
      <c r="K91" s="64">
        <f t="shared" si="29"/>
        <v>0</v>
      </c>
      <c r="L91" s="64">
        <f t="shared" si="29"/>
        <v>0</v>
      </c>
      <c r="M91" s="64">
        <f t="shared" si="29"/>
        <v>0</v>
      </c>
      <c r="N91" s="64">
        <f t="shared" si="29"/>
        <v>0</v>
      </c>
      <c r="O91" s="64">
        <f t="shared" si="29"/>
        <v>0</v>
      </c>
      <c r="P91" s="64">
        <f t="shared" si="29"/>
        <v>0</v>
      </c>
    </row>
    <row r="92" spans="1:16" s="68" customFormat="1" x14ac:dyDescent="0.35">
      <c r="A92" s="65" t="s">
        <v>2</v>
      </c>
      <c r="B92" s="66"/>
      <c r="C92" s="71">
        <f>AVERAGE(C77,C84,C91,C70,C63,C56,C49,C42,C35,C28,C21,C14)</f>
        <v>-1489.1666666666667</v>
      </c>
      <c r="D92" s="71">
        <f t="shared" ref="D92:P92" si="30">AVERAGE(D77,D84,D91,D70,D63,D56,D49,D42,D35,D28,D21,D14)</f>
        <v>0</v>
      </c>
      <c r="E92" s="71">
        <f t="shared" si="30"/>
        <v>0</v>
      </c>
      <c r="F92" s="71">
        <f t="shared" si="30"/>
        <v>-1489.1666666666667</v>
      </c>
      <c r="G92" s="71">
        <f t="shared" si="30"/>
        <v>0</v>
      </c>
      <c r="H92" s="71">
        <f t="shared" si="30"/>
        <v>0</v>
      </c>
      <c r="I92" s="71">
        <f t="shared" si="30"/>
        <v>-1489.1666666666667</v>
      </c>
      <c r="J92" s="71">
        <f t="shared" si="30"/>
        <v>0</v>
      </c>
      <c r="K92" s="71">
        <f t="shared" si="30"/>
        <v>1639.4166666666667</v>
      </c>
      <c r="L92" s="71">
        <f t="shared" si="30"/>
        <v>1798.25</v>
      </c>
      <c r="M92" s="71">
        <f t="shared" si="30"/>
        <v>1798.25</v>
      </c>
      <c r="N92" s="71">
        <f t="shared" si="30"/>
        <v>1798.25</v>
      </c>
      <c r="O92" s="71">
        <f t="shared" si="30"/>
        <v>0</v>
      </c>
      <c r="P92" s="71">
        <f t="shared" si="30"/>
        <v>0</v>
      </c>
    </row>
    <row r="93" spans="1:16" x14ac:dyDescent="0.35">
      <c r="A93" s="227"/>
    </row>
  </sheetData>
  <sheetProtection algorithmName="SHA-512" hashValue="hzc7AKHS3s0ejtcqJLU1pgvw6WuRlBHgXWQo5sRuKMM26+vrV8o8/JY0H8RWp0M6iZTLyGhyDhaVcRNthKIdMw==" saltValue="EuBRmNdmf7LiO8NZ+8xivw==" spinCount="100000" sheet="1" objects="1" scenarios="1"/>
  <autoFilter ref="A2:P92" xr:uid="{00000000-0009-0000-0000-000006000000}"/>
  <conditionalFormatting sqref="E35">
    <cfRule type="cellIs" priority="1" operator="between">
      <formula>500</formula>
      <formula>9999999</formula>
    </cfRule>
    <cfRule type="cellIs" priority="2" operator="between">
      <formula>100</formula>
      <formula>999999999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AA93"/>
  <sheetViews>
    <sheetView zoomScale="80" zoomScaleNormal="80" workbookViewId="0">
      <selection activeCell="G28" sqref="G28"/>
    </sheetView>
  </sheetViews>
  <sheetFormatPr defaultColWidth="8.81640625" defaultRowHeight="14.5" x14ac:dyDescent="0.35"/>
  <cols>
    <col min="1" max="1" width="13.1796875" style="1" customWidth="1"/>
    <col min="2" max="2" width="9.1796875" style="1" customWidth="1"/>
    <col min="3" max="3" width="16.81640625" style="1" customWidth="1"/>
    <col min="4" max="4" width="17.81640625" style="1" customWidth="1"/>
    <col min="5" max="5" width="19.81640625" style="1" bestFit="1" customWidth="1"/>
    <col min="6" max="6" width="21.1796875" style="1" bestFit="1" customWidth="1"/>
    <col min="7" max="7" width="19.81640625" style="1" bestFit="1" customWidth="1"/>
    <col min="8" max="8" width="23.81640625" style="1" bestFit="1" customWidth="1"/>
    <col min="9" max="9" width="19.81640625" style="1" bestFit="1" customWidth="1"/>
    <col min="10" max="10" width="19.453125" style="1" bestFit="1" customWidth="1"/>
    <col min="11" max="11" width="22.81640625" style="1" customWidth="1"/>
    <col min="12" max="12" width="19" style="1" customWidth="1"/>
    <col min="13" max="13" width="20.81640625" style="1" customWidth="1"/>
    <col min="14" max="14" width="18" style="1" bestFit="1" customWidth="1"/>
    <col min="15" max="15" width="19.1796875" style="1" bestFit="1" customWidth="1"/>
    <col min="16" max="16" width="21" style="1" customWidth="1"/>
    <col min="17" max="17" width="19.54296875" style="1" bestFit="1" customWidth="1"/>
    <col min="18" max="18" width="19.81640625" style="1" bestFit="1" customWidth="1"/>
    <col min="19" max="19" width="19.1796875" style="1" bestFit="1" customWidth="1"/>
    <col min="20" max="16384" width="8.81640625" style="1"/>
  </cols>
  <sheetData>
    <row r="1" spans="1:27" ht="24" thickBot="1" x14ac:dyDescent="0.4">
      <c r="A1" s="99"/>
    </row>
    <row r="2" spans="1:27" x14ac:dyDescent="0.35">
      <c r="E2" s="2" t="s">
        <v>226</v>
      </c>
      <c r="F2" s="3" t="s">
        <v>104</v>
      </c>
      <c r="G2" s="3"/>
      <c r="H2" s="3" t="s">
        <v>227</v>
      </c>
      <c r="I2" s="4"/>
    </row>
    <row r="3" spans="1:27" ht="29.5" thickBot="1" x14ac:dyDescent="0.4">
      <c r="E3" s="40" t="s">
        <v>228</v>
      </c>
      <c r="F3" s="6" t="s">
        <v>106</v>
      </c>
      <c r="G3" s="6"/>
      <c r="H3" s="6" t="s">
        <v>229</v>
      </c>
      <c r="I3" s="8"/>
    </row>
    <row r="4" spans="1:27" ht="15" thickBot="1" x14ac:dyDescent="0.4">
      <c r="A4" s="1" t="s">
        <v>230</v>
      </c>
      <c r="B4" s="1" t="s">
        <v>169</v>
      </c>
      <c r="E4" s="41"/>
      <c r="F4" s="42" t="s">
        <v>231</v>
      </c>
      <c r="G4" s="42"/>
      <c r="H4" s="43" t="s">
        <v>232</v>
      </c>
      <c r="I4" s="44"/>
    </row>
    <row r="5" spans="1:27" ht="15" thickBot="1" x14ac:dyDescent="0.4">
      <c r="A5" s="45" t="s">
        <v>73</v>
      </c>
      <c r="B5" s="46" t="s">
        <v>233</v>
      </c>
      <c r="D5" s="47"/>
      <c r="E5" s="48"/>
      <c r="F5" s="6" t="s">
        <v>234</v>
      </c>
      <c r="G5" s="6"/>
      <c r="H5" s="6"/>
      <c r="I5" s="8"/>
      <c r="M5" s="47"/>
      <c r="N5" s="47"/>
      <c r="P5" s="47"/>
    </row>
    <row r="6" spans="1:27" s="55" customFormat="1" ht="42.75" customHeight="1" thickBot="1" x14ac:dyDescent="0.4">
      <c r="A6" s="49" t="s">
        <v>245</v>
      </c>
      <c r="B6" s="50" t="s">
        <v>236</v>
      </c>
      <c r="C6" s="52" t="s">
        <v>237</v>
      </c>
      <c r="D6" s="14" t="s">
        <v>69</v>
      </c>
      <c r="E6" s="52" t="s">
        <v>70</v>
      </c>
      <c r="F6" s="52" t="s">
        <v>7</v>
      </c>
      <c r="G6" s="52" t="s">
        <v>8</v>
      </c>
      <c r="H6" s="14" t="s">
        <v>9</v>
      </c>
      <c r="I6" s="52" t="s">
        <v>10</v>
      </c>
      <c r="J6" s="14" t="s">
        <v>11</v>
      </c>
      <c r="K6" s="52" t="s">
        <v>12</v>
      </c>
      <c r="L6" s="52" t="s">
        <v>13</v>
      </c>
      <c r="M6" s="52" t="s">
        <v>71</v>
      </c>
      <c r="N6" s="52" t="s">
        <v>17</v>
      </c>
      <c r="O6" s="53" t="s">
        <v>72</v>
      </c>
      <c r="P6" s="14" t="s">
        <v>16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</row>
    <row r="7" spans="1:27" s="55" customFormat="1" ht="15" customHeight="1" x14ac:dyDescent="0.35">
      <c r="A7" s="94" t="s">
        <v>137</v>
      </c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</row>
    <row r="8" spans="1:27" s="55" customFormat="1" ht="15" customHeight="1" x14ac:dyDescent="0.35">
      <c r="A8" s="95" t="s">
        <v>158</v>
      </c>
      <c r="B8" s="95"/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</row>
    <row r="9" spans="1:27" x14ac:dyDescent="0.35">
      <c r="A9" s="26" t="s">
        <v>159</v>
      </c>
      <c r="B9" s="27"/>
      <c r="C9" s="58" t="s">
        <v>246</v>
      </c>
      <c r="D9" s="58" t="s">
        <v>246</v>
      </c>
      <c r="E9" s="58" t="s">
        <v>246</v>
      </c>
      <c r="F9" s="58" t="s">
        <v>246</v>
      </c>
      <c r="G9" s="58" t="s">
        <v>246</v>
      </c>
      <c r="H9" s="58" t="s">
        <v>246</v>
      </c>
      <c r="I9" s="58" t="s">
        <v>246</v>
      </c>
      <c r="J9" s="58" t="s">
        <v>246</v>
      </c>
      <c r="K9" s="29" t="s">
        <v>246</v>
      </c>
      <c r="L9" s="85" t="s">
        <v>246</v>
      </c>
      <c r="M9" s="58" t="s">
        <v>246</v>
      </c>
      <c r="N9" s="58" t="s">
        <v>246</v>
      </c>
      <c r="O9" s="58" t="s">
        <v>246</v>
      </c>
      <c r="P9" s="58" t="s">
        <v>246</v>
      </c>
    </row>
    <row r="10" spans="1:27" x14ac:dyDescent="0.35">
      <c r="A10" s="26" t="s">
        <v>238</v>
      </c>
      <c r="B10" s="27" t="s">
        <v>162</v>
      </c>
      <c r="C10" s="29">
        <v>3332</v>
      </c>
      <c r="D10" s="29">
        <v>3332</v>
      </c>
      <c r="E10" s="29">
        <v>3332</v>
      </c>
      <c r="F10" s="29">
        <v>3332</v>
      </c>
      <c r="G10" s="29">
        <v>3332</v>
      </c>
      <c r="H10" s="29">
        <v>3332</v>
      </c>
      <c r="I10" s="29">
        <v>3332</v>
      </c>
      <c r="J10" s="29">
        <v>3332</v>
      </c>
      <c r="K10" s="59">
        <v>0</v>
      </c>
      <c r="L10" s="29">
        <v>3332</v>
      </c>
      <c r="M10" s="29">
        <v>3332</v>
      </c>
      <c r="N10" s="29">
        <v>3332</v>
      </c>
      <c r="O10" s="29">
        <v>3332</v>
      </c>
      <c r="P10" s="29">
        <v>3332</v>
      </c>
    </row>
    <row r="11" spans="1:27" x14ac:dyDescent="0.35">
      <c r="A11" s="26" t="s">
        <v>238</v>
      </c>
      <c r="B11" s="27" t="s">
        <v>163</v>
      </c>
      <c r="C11" s="59">
        <v>21913</v>
      </c>
      <c r="D11" s="59">
        <v>21913</v>
      </c>
      <c r="E11" s="59">
        <v>21913</v>
      </c>
      <c r="F11" s="59">
        <v>21913</v>
      </c>
      <c r="G11" s="59">
        <v>21913</v>
      </c>
      <c r="H11" s="59">
        <v>21913</v>
      </c>
      <c r="I11" s="59">
        <v>21913</v>
      </c>
      <c r="J11" s="59">
        <v>21913</v>
      </c>
      <c r="K11" s="29">
        <v>3332</v>
      </c>
      <c r="L11" s="85">
        <v>21913</v>
      </c>
      <c r="M11" s="59">
        <v>21913</v>
      </c>
      <c r="N11" s="59">
        <v>21913</v>
      </c>
      <c r="O11" s="59">
        <v>21913</v>
      </c>
      <c r="P11" s="59">
        <v>21913</v>
      </c>
    </row>
    <row r="12" spans="1:27" x14ac:dyDescent="0.35">
      <c r="A12" s="26" t="s">
        <v>164</v>
      </c>
      <c r="B12" s="27"/>
      <c r="C12" s="58">
        <v>43792</v>
      </c>
      <c r="D12" s="58">
        <v>43792</v>
      </c>
      <c r="E12" s="58">
        <v>43792</v>
      </c>
      <c r="F12" s="58">
        <v>43792</v>
      </c>
      <c r="G12" s="58">
        <v>43792</v>
      </c>
      <c r="H12" s="58">
        <v>43792</v>
      </c>
      <c r="I12" s="58">
        <v>43792</v>
      </c>
      <c r="J12" s="58">
        <v>43792</v>
      </c>
      <c r="K12" s="60">
        <v>42838</v>
      </c>
      <c r="L12" s="86">
        <v>43792</v>
      </c>
      <c r="M12" s="58">
        <v>43792</v>
      </c>
      <c r="N12" s="58">
        <v>43792</v>
      </c>
      <c r="O12" s="58">
        <v>43792</v>
      </c>
      <c r="P12" s="58">
        <v>43792</v>
      </c>
    </row>
    <row r="13" spans="1:27" ht="29" x14ac:dyDescent="0.35">
      <c r="A13" s="61" t="s">
        <v>165</v>
      </c>
      <c r="B13" s="62"/>
      <c r="C13" s="34" t="s">
        <v>247</v>
      </c>
      <c r="D13" s="34" t="s">
        <v>247</v>
      </c>
      <c r="E13" s="34" t="s">
        <v>247</v>
      </c>
      <c r="F13" s="34" t="s">
        <v>247</v>
      </c>
      <c r="G13" s="34" t="s">
        <v>247</v>
      </c>
      <c r="H13" s="34" t="s">
        <v>247</v>
      </c>
      <c r="I13" s="34" t="s">
        <v>247</v>
      </c>
      <c r="J13" s="34" t="s">
        <v>247</v>
      </c>
      <c r="K13" s="34" t="s">
        <v>166</v>
      </c>
      <c r="L13" s="87" t="s">
        <v>166</v>
      </c>
      <c r="M13" s="34" t="s">
        <v>247</v>
      </c>
      <c r="N13" s="34" t="s">
        <v>247</v>
      </c>
      <c r="O13" s="34" t="s">
        <v>247</v>
      </c>
      <c r="P13" s="34" t="s">
        <v>247</v>
      </c>
    </row>
    <row r="14" spans="1:27" x14ac:dyDescent="0.35">
      <c r="A14" s="225" t="s">
        <v>167</v>
      </c>
      <c r="B14" s="63"/>
      <c r="C14" s="64">
        <f>IFERROR(C11-C10,"")</f>
        <v>18581</v>
      </c>
      <c r="D14" s="64">
        <f t="shared" ref="D14:P14" si="0">IFERROR(D11-D10,"")</f>
        <v>18581</v>
      </c>
      <c r="E14" s="64">
        <f t="shared" si="0"/>
        <v>18581</v>
      </c>
      <c r="F14" s="64">
        <f t="shared" si="0"/>
        <v>18581</v>
      </c>
      <c r="G14" s="64">
        <f t="shared" si="0"/>
        <v>18581</v>
      </c>
      <c r="H14" s="64">
        <f t="shared" si="0"/>
        <v>18581</v>
      </c>
      <c r="I14" s="64">
        <f t="shared" si="0"/>
        <v>18581</v>
      </c>
      <c r="J14" s="64">
        <f t="shared" si="0"/>
        <v>18581</v>
      </c>
      <c r="K14" s="64">
        <f t="shared" si="0"/>
        <v>3332</v>
      </c>
      <c r="L14" s="64">
        <f t="shared" si="0"/>
        <v>18581</v>
      </c>
      <c r="M14" s="64">
        <f t="shared" si="0"/>
        <v>18581</v>
      </c>
      <c r="N14" s="64">
        <f t="shared" si="0"/>
        <v>18581</v>
      </c>
      <c r="O14" s="64">
        <f t="shared" si="0"/>
        <v>18581</v>
      </c>
      <c r="P14" s="64">
        <f t="shared" si="0"/>
        <v>18581</v>
      </c>
    </row>
    <row r="15" spans="1:27" s="68" customFormat="1" x14ac:dyDescent="0.35">
      <c r="A15" s="65" t="s">
        <v>2</v>
      </c>
      <c r="B15" s="66"/>
      <c r="C15" s="67">
        <f>C14</f>
        <v>18581</v>
      </c>
      <c r="D15" s="67">
        <f t="shared" ref="D15:P15" si="1">D14</f>
        <v>18581</v>
      </c>
      <c r="E15" s="67">
        <f t="shared" si="1"/>
        <v>18581</v>
      </c>
      <c r="F15" s="67">
        <f t="shared" si="1"/>
        <v>18581</v>
      </c>
      <c r="G15" s="67">
        <f t="shared" si="1"/>
        <v>18581</v>
      </c>
      <c r="H15" s="67">
        <f t="shared" si="1"/>
        <v>18581</v>
      </c>
      <c r="I15" s="67">
        <f t="shared" si="1"/>
        <v>18581</v>
      </c>
      <c r="J15" s="67">
        <f t="shared" si="1"/>
        <v>18581</v>
      </c>
      <c r="K15" s="67">
        <f t="shared" si="1"/>
        <v>3332</v>
      </c>
      <c r="L15" s="67">
        <f t="shared" si="1"/>
        <v>18581</v>
      </c>
      <c r="M15" s="67">
        <f t="shared" si="1"/>
        <v>18581</v>
      </c>
      <c r="N15" s="67">
        <f t="shared" si="1"/>
        <v>18581</v>
      </c>
      <c r="O15" s="67">
        <f t="shared" si="1"/>
        <v>18581</v>
      </c>
      <c r="P15" s="67">
        <f t="shared" si="1"/>
        <v>18581</v>
      </c>
    </row>
    <row r="16" spans="1:27" x14ac:dyDescent="0.35">
      <c r="A16" s="21" t="s">
        <v>159</v>
      </c>
      <c r="B16" s="22"/>
      <c r="C16" s="58">
        <v>43792</v>
      </c>
      <c r="D16" s="60"/>
      <c r="E16" s="58"/>
      <c r="F16" s="58">
        <v>43792</v>
      </c>
      <c r="G16" s="58"/>
      <c r="H16" s="58"/>
      <c r="I16" s="58">
        <v>43792</v>
      </c>
      <c r="J16" s="60"/>
      <c r="K16" s="60">
        <v>42838</v>
      </c>
      <c r="L16" s="58">
        <v>43792</v>
      </c>
      <c r="M16" s="223">
        <v>43792</v>
      </c>
      <c r="N16" s="223">
        <v>43792</v>
      </c>
      <c r="O16" s="60">
        <v>43792</v>
      </c>
      <c r="P16" s="60"/>
    </row>
    <row r="17" spans="1:16" x14ac:dyDescent="0.35">
      <c r="A17" s="26" t="s">
        <v>238</v>
      </c>
      <c r="B17" s="27" t="s">
        <v>162</v>
      </c>
      <c r="C17" s="59">
        <v>21913</v>
      </c>
      <c r="D17" s="59"/>
      <c r="E17" s="59"/>
      <c r="F17" s="59">
        <v>21913</v>
      </c>
      <c r="G17" s="59"/>
      <c r="H17" s="59"/>
      <c r="I17" s="59">
        <v>21913</v>
      </c>
      <c r="J17" s="29"/>
      <c r="K17" s="29">
        <v>3332</v>
      </c>
      <c r="L17" s="59">
        <v>21913</v>
      </c>
      <c r="M17" s="59">
        <v>21913</v>
      </c>
      <c r="N17" s="59">
        <v>21913</v>
      </c>
      <c r="O17" s="59">
        <v>21913</v>
      </c>
      <c r="P17" s="59"/>
    </row>
    <row r="18" spans="1:16" x14ac:dyDescent="0.35">
      <c r="A18" s="26" t="s">
        <v>238</v>
      </c>
      <c r="B18" s="27" t="s">
        <v>163</v>
      </c>
      <c r="C18" s="59">
        <v>33568</v>
      </c>
      <c r="D18" s="59"/>
      <c r="E18" s="59"/>
      <c r="F18" s="59">
        <v>37406</v>
      </c>
      <c r="G18" s="59"/>
      <c r="H18" s="59"/>
      <c r="I18" s="59">
        <v>32791</v>
      </c>
      <c r="J18" s="29"/>
      <c r="K18" s="29">
        <v>14748</v>
      </c>
      <c r="L18" s="59">
        <v>32791</v>
      </c>
      <c r="M18" s="59">
        <v>37406</v>
      </c>
      <c r="N18" s="59">
        <v>33568</v>
      </c>
      <c r="O18" s="59">
        <v>38500</v>
      </c>
      <c r="P18" s="59"/>
    </row>
    <row r="19" spans="1:16" x14ac:dyDescent="0.35">
      <c r="A19" s="26" t="s">
        <v>164</v>
      </c>
      <c r="B19" s="27"/>
      <c r="C19" s="58" t="s">
        <v>248</v>
      </c>
      <c r="D19" s="60"/>
      <c r="E19" s="58"/>
      <c r="F19" s="58" t="s">
        <v>243</v>
      </c>
      <c r="G19" s="58"/>
      <c r="H19" s="58"/>
      <c r="I19" s="58" t="s">
        <v>249</v>
      </c>
      <c r="J19" s="60"/>
      <c r="K19" s="60">
        <v>43365</v>
      </c>
      <c r="L19" s="58" t="s">
        <v>249</v>
      </c>
      <c r="M19" s="58" t="s">
        <v>244</v>
      </c>
      <c r="N19" s="58" t="s">
        <v>250</v>
      </c>
      <c r="O19" s="60" t="s">
        <v>251</v>
      </c>
      <c r="P19" s="60"/>
    </row>
    <row r="20" spans="1:16" x14ac:dyDescent="0.35">
      <c r="A20" s="61" t="s">
        <v>165</v>
      </c>
      <c r="B20" s="62"/>
      <c r="C20" s="81"/>
      <c r="D20" s="34"/>
      <c r="E20" s="34" t="s">
        <v>166</v>
      </c>
      <c r="F20" s="34"/>
      <c r="G20" s="34" t="s">
        <v>166</v>
      </c>
      <c r="H20" s="34" t="s">
        <v>166</v>
      </c>
      <c r="I20" s="88" t="s">
        <v>252</v>
      </c>
      <c r="J20" s="34"/>
      <c r="K20" s="34" t="s">
        <v>166</v>
      </c>
      <c r="L20" s="88" t="s">
        <v>253</v>
      </c>
      <c r="M20" s="81"/>
      <c r="N20" s="81"/>
      <c r="O20" s="34" t="s">
        <v>254</v>
      </c>
      <c r="P20" s="34"/>
    </row>
    <row r="21" spans="1:16" x14ac:dyDescent="0.35">
      <c r="A21" s="225" t="s">
        <v>167</v>
      </c>
      <c r="B21" s="63"/>
      <c r="C21" s="64">
        <f>IFERROR(C18-C17,"")</f>
        <v>11655</v>
      </c>
      <c r="D21" s="64">
        <f t="shared" ref="D21:P21" si="2">IFERROR(D18-D17,"")</f>
        <v>0</v>
      </c>
      <c r="E21" s="64">
        <f t="shared" si="2"/>
        <v>0</v>
      </c>
      <c r="F21" s="64">
        <f t="shared" si="2"/>
        <v>15493</v>
      </c>
      <c r="G21" s="64">
        <f t="shared" si="2"/>
        <v>0</v>
      </c>
      <c r="H21" s="64">
        <f t="shared" si="2"/>
        <v>0</v>
      </c>
      <c r="I21" s="64">
        <f t="shared" si="2"/>
        <v>10878</v>
      </c>
      <c r="J21" s="64">
        <f t="shared" si="2"/>
        <v>0</v>
      </c>
      <c r="K21" s="64">
        <f t="shared" si="2"/>
        <v>11416</v>
      </c>
      <c r="L21" s="64">
        <f t="shared" si="2"/>
        <v>10878</v>
      </c>
      <c r="M21" s="64">
        <f t="shared" si="2"/>
        <v>15493</v>
      </c>
      <c r="N21" s="64">
        <f t="shared" si="2"/>
        <v>11655</v>
      </c>
      <c r="O21" s="64">
        <f t="shared" si="2"/>
        <v>16587</v>
      </c>
      <c r="P21" s="64">
        <f t="shared" si="2"/>
        <v>0</v>
      </c>
    </row>
    <row r="22" spans="1:16" s="68" customFormat="1" x14ac:dyDescent="0.35">
      <c r="A22" s="65" t="s">
        <v>2</v>
      </c>
      <c r="B22" s="66"/>
      <c r="C22" s="67">
        <f>AVERAGE(C21,C14)</f>
        <v>15118</v>
      </c>
      <c r="D22" s="67">
        <f t="shared" ref="D22:P22" si="3">AVERAGE(D21,D14)</f>
        <v>9290.5</v>
      </c>
      <c r="E22" s="67">
        <f t="shared" si="3"/>
        <v>9290.5</v>
      </c>
      <c r="F22" s="67">
        <f t="shared" si="3"/>
        <v>17037</v>
      </c>
      <c r="G22" s="67">
        <f t="shared" si="3"/>
        <v>9290.5</v>
      </c>
      <c r="H22" s="67">
        <f t="shared" si="3"/>
        <v>9290.5</v>
      </c>
      <c r="I22" s="67">
        <f t="shared" si="3"/>
        <v>14729.5</v>
      </c>
      <c r="J22" s="67">
        <f t="shared" si="3"/>
        <v>9290.5</v>
      </c>
      <c r="K22" s="67">
        <f t="shared" si="3"/>
        <v>7374</v>
      </c>
      <c r="L22" s="67">
        <f t="shared" si="3"/>
        <v>14729.5</v>
      </c>
      <c r="M22" s="67">
        <f t="shared" si="3"/>
        <v>17037</v>
      </c>
      <c r="N22" s="67">
        <f t="shared" si="3"/>
        <v>15118</v>
      </c>
      <c r="O22" s="67">
        <f t="shared" si="3"/>
        <v>17584</v>
      </c>
      <c r="P22" s="67">
        <f t="shared" si="3"/>
        <v>9290.5</v>
      </c>
    </row>
    <row r="23" spans="1:16" x14ac:dyDescent="0.35">
      <c r="A23" s="21" t="s">
        <v>159</v>
      </c>
      <c r="B23" s="22"/>
      <c r="C23" s="58" t="s">
        <v>248</v>
      </c>
      <c r="D23" s="82"/>
      <c r="E23" s="58"/>
      <c r="F23" s="58"/>
      <c r="G23" s="58"/>
      <c r="H23" s="58"/>
      <c r="I23" s="58" t="s">
        <v>249</v>
      </c>
      <c r="J23" s="60"/>
      <c r="K23" s="60">
        <v>43365</v>
      </c>
      <c r="L23" s="58" t="s">
        <v>249</v>
      </c>
      <c r="M23" s="58" t="s">
        <v>244</v>
      </c>
      <c r="N23" s="58" t="s">
        <v>250</v>
      </c>
      <c r="O23" s="60"/>
      <c r="P23" s="60"/>
    </row>
    <row r="24" spans="1:16" x14ac:dyDescent="0.35">
      <c r="A24" s="26" t="s">
        <v>238</v>
      </c>
      <c r="B24" s="27" t="s">
        <v>162</v>
      </c>
      <c r="C24" s="59">
        <v>33568</v>
      </c>
      <c r="D24" s="83"/>
      <c r="E24" s="59"/>
      <c r="F24" s="59"/>
      <c r="G24" s="29"/>
      <c r="H24" s="29"/>
      <c r="I24" s="59">
        <v>32791</v>
      </c>
      <c r="J24" s="29"/>
      <c r="K24" s="29">
        <v>14748</v>
      </c>
      <c r="L24" s="59">
        <v>32791</v>
      </c>
      <c r="M24" s="59">
        <v>37406</v>
      </c>
      <c r="N24" s="59">
        <v>33568</v>
      </c>
      <c r="O24" s="59"/>
      <c r="P24" s="59"/>
    </row>
    <row r="25" spans="1:16" x14ac:dyDescent="0.35">
      <c r="A25" s="26" t="s">
        <v>238</v>
      </c>
      <c r="B25" s="27" t="s">
        <v>163</v>
      </c>
      <c r="C25" s="59">
        <v>33568</v>
      </c>
      <c r="D25" s="70"/>
      <c r="E25" s="59"/>
      <c r="F25" s="59"/>
      <c r="G25" s="29"/>
      <c r="H25" s="29"/>
      <c r="I25" s="59">
        <v>37406</v>
      </c>
      <c r="J25" s="29"/>
      <c r="K25" s="29">
        <v>21913</v>
      </c>
      <c r="L25" s="59">
        <v>33568</v>
      </c>
      <c r="M25" s="59">
        <v>38500</v>
      </c>
      <c r="N25" s="59">
        <v>37406</v>
      </c>
      <c r="O25" s="29"/>
      <c r="P25" s="29"/>
    </row>
    <row r="26" spans="1:16" x14ac:dyDescent="0.35">
      <c r="A26" s="26" t="s">
        <v>164</v>
      </c>
      <c r="B26" s="27"/>
      <c r="C26" s="58" t="s">
        <v>250</v>
      </c>
      <c r="D26" s="82"/>
      <c r="E26" s="58"/>
      <c r="F26" s="58"/>
      <c r="G26" s="58"/>
      <c r="H26" s="58"/>
      <c r="I26" s="58" t="s">
        <v>244</v>
      </c>
      <c r="J26" s="60"/>
      <c r="K26" s="60">
        <v>43761</v>
      </c>
      <c r="L26" s="58" t="s">
        <v>248</v>
      </c>
      <c r="M26" s="58" t="s">
        <v>251</v>
      </c>
      <c r="N26" s="58" t="s">
        <v>243</v>
      </c>
      <c r="O26" s="60"/>
      <c r="P26" s="60"/>
    </row>
    <row r="27" spans="1:16" x14ac:dyDescent="0.35">
      <c r="A27" s="61" t="s">
        <v>165</v>
      </c>
      <c r="B27" s="62"/>
      <c r="C27" s="81"/>
      <c r="D27" s="84"/>
      <c r="E27" s="34" t="s">
        <v>166</v>
      </c>
      <c r="F27" s="34" t="s">
        <v>166</v>
      </c>
      <c r="G27" s="34"/>
      <c r="H27" s="34"/>
      <c r="I27" s="34"/>
      <c r="J27" s="34"/>
      <c r="K27" s="34" t="s">
        <v>166</v>
      </c>
      <c r="L27" s="34"/>
      <c r="M27" s="34" t="s">
        <v>254</v>
      </c>
      <c r="N27" s="81"/>
      <c r="O27" s="34"/>
      <c r="P27" s="34"/>
    </row>
    <row r="28" spans="1:16" x14ac:dyDescent="0.35">
      <c r="A28" s="225" t="s">
        <v>167</v>
      </c>
      <c r="B28" s="63"/>
      <c r="C28" s="64">
        <f>IFERROR(C25-C24,"")</f>
        <v>0</v>
      </c>
      <c r="D28" s="64">
        <f t="shared" ref="D28:P28" si="4">IFERROR(D25-D24,"")</f>
        <v>0</v>
      </c>
      <c r="E28" s="64">
        <f t="shared" si="4"/>
        <v>0</v>
      </c>
      <c r="F28" s="64">
        <f t="shared" si="4"/>
        <v>0</v>
      </c>
      <c r="G28" s="64">
        <f t="shared" si="4"/>
        <v>0</v>
      </c>
      <c r="H28" s="64">
        <f t="shared" si="4"/>
        <v>0</v>
      </c>
      <c r="I28" s="64">
        <f t="shared" si="4"/>
        <v>4615</v>
      </c>
      <c r="J28" s="64">
        <f t="shared" si="4"/>
        <v>0</v>
      </c>
      <c r="K28" s="64">
        <f t="shared" si="4"/>
        <v>7165</v>
      </c>
      <c r="L28" s="64">
        <f t="shared" si="4"/>
        <v>777</v>
      </c>
      <c r="M28" s="64">
        <f t="shared" si="4"/>
        <v>1094</v>
      </c>
      <c r="N28" s="64">
        <f t="shared" si="4"/>
        <v>3838</v>
      </c>
      <c r="O28" s="64">
        <f t="shared" si="4"/>
        <v>0</v>
      </c>
      <c r="P28" s="64">
        <f t="shared" si="4"/>
        <v>0</v>
      </c>
    </row>
    <row r="29" spans="1:16" s="68" customFormat="1" x14ac:dyDescent="0.35">
      <c r="A29" s="65" t="s">
        <v>2</v>
      </c>
      <c r="B29" s="66"/>
      <c r="C29" s="67">
        <f t="shared" ref="C29" si="5">AVERAGE(C28,C21,C14)</f>
        <v>10078.666666666666</v>
      </c>
      <c r="D29" s="67">
        <f t="shared" ref="D29" si="6">AVERAGE(D28,D21,D14)</f>
        <v>6193.666666666667</v>
      </c>
      <c r="E29" s="67">
        <f t="shared" ref="E29" si="7">AVERAGE(E28,E21,E14)</f>
        <v>6193.666666666667</v>
      </c>
      <c r="F29" s="67">
        <f t="shared" ref="F29" si="8">AVERAGE(F28,F21,F14)</f>
        <v>11358</v>
      </c>
      <c r="G29" s="67">
        <f t="shared" ref="G29" si="9">AVERAGE(G28,G21,G14)</f>
        <v>6193.666666666667</v>
      </c>
      <c r="H29" s="67">
        <f t="shared" ref="H29" si="10">AVERAGE(H28,H21,H14)</f>
        <v>6193.666666666667</v>
      </c>
      <c r="I29" s="67">
        <f t="shared" ref="I29" si="11">AVERAGE(I28,I21,I14)</f>
        <v>11358</v>
      </c>
      <c r="J29" s="67">
        <f t="shared" ref="J29" si="12">AVERAGE(J28,J21,J14)</f>
        <v>6193.666666666667</v>
      </c>
      <c r="K29" s="67">
        <f t="shared" ref="K29" si="13">AVERAGE(K28,K21,K14)</f>
        <v>7304.333333333333</v>
      </c>
      <c r="L29" s="67">
        <f t="shared" ref="L29" si="14">AVERAGE(L28,L21,L14)</f>
        <v>10078.666666666666</v>
      </c>
      <c r="M29" s="67">
        <f t="shared" ref="M29" si="15">AVERAGE(M28,M21,M14)</f>
        <v>11722.666666666666</v>
      </c>
      <c r="N29" s="67">
        <f t="shared" ref="N29" si="16">AVERAGE(N28,N21,N14)</f>
        <v>11358</v>
      </c>
      <c r="O29" s="67">
        <f t="shared" ref="O29" si="17">AVERAGE(O28,O21,O14)</f>
        <v>11722.666666666666</v>
      </c>
      <c r="P29" s="67">
        <f t="shared" ref="P29" si="18">AVERAGE(P28,P21,P14)</f>
        <v>6193.666666666667</v>
      </c>
    </row>
    <row r="30" spans="1:16" x14ac:dyDescent="0.35">
      <c r="A30" s="21" t="s">
        <v>159</v>
      </c>
      <c r="B30" s="22"/>
      <c r="C30" s="58"/>
      <c r="D30" s="60"/>
      <c r="E30" s="58"/>
      <c r="F30" s="58"/>
      <c r="G30" s="58"/>
      <c r="H30" s="58"/>
      <c r="I30" s="60"/>
      <c r="J30" s="60"/>
      <c r="K30" s="60">
        <v>43761</v>
      </c>
      <c r="L30" s="60" t="s">
        <v>248</v>
      </c>
      <c r="M30" s="60"/>
      <c r="N30" s="58" t="s">
        <v>243</v>
      </c>
      <c r="O30" s="60"/>
      <c r="P30" s="60"/>
    </row>
    <row r="31" spans="1:16" x14ac:dyDescent="0.35">
      <c r="A31" s="26" t="s">
        <v>238</v>
      </c>
      <c r="B31" s="27" t="s">
        <v>162</v>
      </c>
      <c r="C31" s="59"/>
      <c r="D31" s="29"/>
      <c r="E31" s="29"/>
      <c r="F31" s="29"/>
      <c r="G31" s="29"/>
      <c r="H31" s="29"/>
      <c r="I31" s="29"/>
      <c r="J31" s="59"/>
      <c r="K31" s="29">
        <v>21913</v>
      </c>
      <c r="L31" s="29">
        <v>33568</v>
      </c>
      <c r="M31" s="29"/>
      <c r="N31" s="59">
        <v>37406</v>
      </c>
      <c r="O31" s="29"/>
      <c r="P31" s="29"/>
    </row>
    <row r="32" spans="1:16" x14ac:dyDescent="0.35">
      <c r="A32" s="26" t="s">
        <v>238</v>
      </c>
      <c r="B32" s="27" t="s">
        <v>163</v>
      </c>
      <c r="C32" s="59"/>
      <c r="D32" s="29"/>
      <c r="E32" s="59"/>
      <c r="F32" s="74"/>
      <c r="G32" s="74"/>
      <c r="H32" s="70"/>
      <c r="I32" s="74"/>
      <c r="J32" s="74"/>
      <c r="K32" s="29">
        <v>31801</v>
      </c>
      <c r="L32" s="29">
        <v>33568</v>
      </c>
      <c r="M32" s="29"/>
      <c r="N32" s="59">
        <v>38500</v>
      </c>
      <c r="O32" s="29"/>
      <c r="P32" s="29"/>
    </row>
    <row r="33" spans="1:16" x14ac:dyDescent="0.35">
      <c r="A33" s="26" t="s">
        <v>164</v>
      </c>
      <c r="B33" s="27"/>
      <c r="C33" s="58"/>
      <c r="D33" s="23"/>
      <c r="E33" s="58"/>
      <c r="F33" s="58"/>
      <c r="G33" s="60"/>
      <c r="H33" s="60"/>
      <c r="I33" s="60"/>
      <c r="J33" s="60"/>
      <c r="K33" s="60" t="s">
        <v>255</v>
      </c>
      <c r="L33" s="60" t="s">
        <v>250</v>
      </c>
      <c r="M33" s="60"/>
      <c r="N33" s="58" t="s">
        <v>251</v>
      </c>
      <c r="O33" s="60"/>
      <c r="P33" s="60"/>
    </row>
    <row r="34" spans="1:16" ht="29" x14ac:dyDescent="0.35">
      <c r="A34" s="61" t="s">
        <v>165</v>
      </c>
      <c r="B34" s="62"/>
      <c r="C34" s="34" t="s">
        <v>166</v>
      </c>
      <c r="D34" s="34"/>
      <c r="E34" s="34"/>
      <c r="F34" s="34"/>
      <c r="G34" s="34"/>
      <c r="H34" s="34"/>
      <c r="I34" s="34"/>
      <c r="J34" s="34"/>
      <c r="K34" s="34" t="s">
        <v>256</v>
      </c>
      <c r="L34" s="34"/>
      <c r="M34" s="34"/>
      <c r="N34" s="34"/>
      <c r="O34" s="34"/>
      <c r="P34" s="34"/>
    </row>
    <row r="35" spans="1:16" x14ac:dyDescent="0.35">
      <c r="A35" s="225" t="s">
        <v>167</v>
      </c>
      <c r="B35" s="63"/>
      <c r="C35" s="64">
        <f>IFERROR(C32-C31,"")</f>
        <v>0</v>
      </c>
      <c r="D35" s="64">
        <f t="shared" ref="D35:P35" si="19">IFERROR(D32-D31,"")</f>
        <v>0</v>
      </c>
      <c r="E35" s="64">
        <f t="shared" si="19"/>
        <v>0</v>
      </c>
      <c r="F35" s="64">
        <f t="shared" si="19"/>
        <v>0</v>
      </c>
      <c r="G35" s="64">
        <f t="shared" si="19"/>
        <v>0</v>
      </c>
      <c r="H35" s="64">
        <f t="shared" si="19"/>
        <v>0</v>
      </c>
      <c r="I35" s="64">
        <f t="shared" si="19"/>
        <v>0</v>
      </c>
      <c r="J35" s="64">
        <f t="shared" si="19"/>
        <v>0</v>
      </c>
      <c r="K35" s="64">
        <f t="shared" si="19"/>
        <v>9888</v>
      </c>
      <c r="L35" s="64">
        <f t="shared" si="19"/>
        <v>0</v>
      </c>
      <c r="M35" s="64">
        <f t="shared" si="19"/>
        <v>0</v>
      </c>
      <c r="N35" s="64">
        <f t="shared" si="19"/>
        <v>1094</v>
      </c>
      <c r="O35" s="64">
        <f t="shared" si="19"/>
        <v>0</v>
      </c>
      <c r="P35" s="64">
        <f t="shared" si="19"/>
        <v>0</v>
      </c>
    </row>
    <row r="36" spans="1:16" s="68" customFormat="1" x14ac:dyDescent="0.35">
      <c r="A36" s="65" t="s">
        <v>2</v>
      </c>
      <c r="B36" s="66"/>
      <c r="C36" s="67">
        <f>AVERAGE(C35,C28,C21,C14)</f>
        <v>7559</v>
      </c>
      <c r="D36" s="67">
        <f t="shared" ref="D36:P36" si="20">AVERAGE(D35,D28,D21,D14)</f>
        <v>4645.25</v>
      </c>
      <c r="E36" s="67">
        <f t="shared" si="20"/>
        <v>4645.25</v>
      </c>
      <c r="F36" s="67">
        <f t="shared" si="20"/>
        <v>8518.5</v>
      </c>
      <c r="G36" s="67">
        <f t="shared" si="20"/>
        <v>4645.25</v>
      </c>
      <c r="H36" s="67">
        <f t="shared" si="20"/>
        <v>4645.25</v>
      </c>
      <c r="I36" s="67">
        <f t="shared" si="20"/>
        <v>8518.5</v>
      </c>
      <c r="J36" s="67">
        <f t="shared" si="20"/>
        <v>4645.25</v>
      </c>
      <c r="K36" s="67">
        <f t="shared" si="20"/>
        <v>7950.25</v>
      </c>
      <c r="L36" s="67">
        <f t="shared" si="20"/>
        <v>7559</v>
      </c>
      <c r="M36" s="67">
        <f t="shared" si="20"/>
        <v>8792</v>
      </c>
      <c r="N36" s="67">
        <f t="shared" si="20"/>
        <v>8792</v>
      </c>
      <c r="O36" s="67">
        <f t="shared" si="20"/>
        <v>8792</v>
      </c>
      <c r="P36" s="67">
        <f t="shared" si="20"/>
        <v>4645.25</v>
      </c>
    </row>
    <row r="37" spans="1:16" x14ac:dyDescent="0.35">
      <c r="A37" s="21" t="s">
        <v>159</v>
      </c>
      <c r="B37" s="22"/>
      <c r="C37" s="75"/>
      <c r="D37" s="29"/>
      <c r="E37" s="29"/>
      <c r="F37" s="29"/>
      <c r="G37" s="60"/>
      <c r="H37" s="29"/>
      <c r="I37" s="29"/>
      <c r="J37" s="23"/>
      <c r="K37" s="60" t="s">
        <v>255</v>
      </c>
      <c r="L37" s="60"/>
      <c r="M37" s="60"/>
      <c r="N37" s="60"/>
      <c r="O37" s="60"/>
      <c r="P37" s="60"/>
    </row>
    <row r="38" spans="1:16" x14ac:dyDescent="0.35">
      <c r="A38" s="26" t="s">
        <v>238</v>
      </c>
      <c r="B38" s="27" t="s">
        <v>162</v>
      </c>
      <c r="C38" s="75"/>
      <c r="D38" s="29">
        <f t="shared" ref="D38:I38" si="21">D32</f>
        <v>0</v>
      </c>
      <c r="E38" s="29">
        <f t="shared" si="21"/>
        <v>0</v>
      </c>
      <c r="F38" s="29">
        <f t="shared" si="21"/>
        <v>0</v>
      </c>
      <c r="G38" s="29"/>
      <c r="H38" s="29">
        <f t="shared" si="21"/>
        <v>0</v>
      </c>
      <c r="I38" s="29">
        <f t="shared" si="21"/>
        <v>0</v>
      </c>
      <c r="J38" s="29"/>
      <c r="K38" s="29">
        <v>31801</v>
      </c>
      <c r="L38" s="29"/>
      <c r="M38" s="29"/>
      <c r="N38" s="29"/>
      <c r="O38" s="29"/>
      <c r="P38" s="29"/>
    </row>
    <row r="39" spans="1:16" x14ac:dyDescent="0.35">
      <c r="A39" s="26" t="s">
        <v>238</v>
      </c>
      <c r="B39" s="27" t="s">
        <v>163</v>
      </c>
      <c r="C39" s="75"/>
      <c r="D39" s="29"/>
      <c r="E39" s="29"/>
      <c r="F39" s="29"/>
      <c r="G39" s="29"/>
      <c r="H39" s="29"/>
      <c r="I39" s="29"/>
      <c r="J39" s="29"/>
      <c r="K39" s="29">
        <v>32791</v>
      </c>
      <c r="L39" s="29"/>
      <c r="M39" s="73"/>
      <c r="N39" s="29"/>
      <c r="O39" s="73"/>
      <c r="P39" s="73"/>
    </row>
    <row r="40" spans="1:16" x14ac:dyDescent="0.35">
      <c r="A40" s="26" t="s">
        <v>164</v>
      </c>
      <c r="B40" s="27"/>
      <c r="C40" s="75"/>
      <c r="D40" s="29"/>
      <c r="E40" s="29"/>
      <c r="F40" s="29"/>
      <c r="G40" s="60"/>
      <c r="H40" s="29"/>
      <c r="I40" s="29"/>
      <c r="J40" s="23"/>
      <c r="K40" s="60" t="s">
        <v>249</v>
      </c>
      <c r="L40" s="60"/>
      <c r="M40" s="60"/>
      <c r="N40" s="60"/>
      <c r="O40" s="60"/>
      <c r="P40" s="60"/>
    </row>
    <row r="41" spans="1:16" x14ac:dyDescent="0.35">
      <c r="A41" s="61" t="s">
        <v>165</v>
      </c>
      <c r="B41" s="62"/>
      <c r="C41" s="75"/>
      <c r="D41" s="29"/>
      <c r="E41" s="29"/>
      <c r="F41" s="29"/>
      <c r="G41" s="34"/>
      <c r="H41" s="29"/>
      <c r="I41" s="29"/>
      <c r="J41" s="29"/>
      <c r="K41" s="34" t="s">
        <v>252</v>
      </c>
      <c r="L41" s="34"/>
      <c r="M41" s="34"/>
      <c r="N41" s="34"/>
      <c r="O41" s="34"/>
      <c r="P41" s="34"/>
    </row>
    <row r="42" spans="1:16" x14ac:dyDescent="0.35">
      <c r="A42" s="225" t="s">
        <v>167</v>
      </c>
      <c r="B42" s="63"/>
      <c r="C42" s="64">
        <f>IFERROR(C39-C38,"")</f>
        <v>0</v>
      </c>
      <c r="D42" s="64">
        <f t="shared" ref="D42:P42" si="22">IFERROR(D39-D38,"")</f>
        <v>0</v>
      </c>
      <c r="E42" s="64">
        <f t="shared" si="22"/>
        <v>0</v>
      </c>
      <c r="F42" s="64">
        <f t="shared" si="22"/>
        <v>0</v>
      </c>
      <c r="G42" s="64">
        <f t="shared" si="22"/>
        <v>0</v>
      </c>
      <c r="H42" s="64">
        <f t="shared" si="22"/>
        <v>0</v>
      </c>
      <c r="I42" s="64">
        <f t="shared" si="22"/>
        <v>0</v>
      </c>
      <c r="J42" s="64">
        <f t="shared" si="22"/>
        <v>0</v>
      </c>
      <c r="K42" s="64">
        <f t="shared" si="22"/>
        <v>990</v>
      </c>
      <c r="L42" s="64">
        <f t="shared" si="22"/>
        <v>0</v>
      </c>
      <c r="M42" s="64">
        <f t="shared" si="22"/>
        <v>0</v>
      </c>
      <c r="N42" s="64">
        <f t="shared" si="22"/>
        <v>0</v>
      </c>
      <c r="O42" s="64">
        <f t="shared" si="22"/>
        <v>0</v>
      </c>
      <c r="P42" s="64">
        <f t="shared" si="22"/>
        <v>0</v>
      </c>
    </row>
    <row r="43" spans="1:16" s="68" customFormat="1" x14ac:dyDescent="0.35">
      <c r="A43" s="65" t="s">
        <v>2</v>
      </c>
      <c r="B43" s="66"/>
      <c r="C43" s="67">
        <f>AVERAGE(C42,C35,C28,C21,C14)</f>
        <v>6047.2</v>
      </c>
      <c r="D43" s="67">
        <f t="shared" ref="D43:P43" si="23">AVERAGE(D42,D35,D28,D21,D14)</f>
        <v>3716.2</v>
      </c>
      <c r="E43" s="67">
        <f t="shared" si="23"/>
        <v>3716.2</v>
      </c>
      <c r="F43" s="67">
        <f t="shared" si="23"/>
        <v>6814.8</v>
      </c>
      <c r="G43" s="67">
        <f t="shared" si="23"/>
        <v>3716.2</v>
      </c>
      <c r="H43" s="67">
        <f t="shared" si="23"/>
        <v>3716.2</v>
      </c>
      <c r="I43" s="67">
        <f t="shared" si="23"/>
        <v>6814.8</v>
      </c>
      <c r="J43" s="67">
        <f t="shared" si="23"/>
        <v>3716.2</v>
      </c>
      <c r="K43" s="67">
        <f t="shared" si="23"/>
        <v>6558.2</v>
      </c>
      <c r="L43" s="67">
        <f t="shared" si="23"/>
        <v>6047.2</v>
      </c>
      <c r="M43" s="67">
        <f t="shared" si="23"/>
        <v>7033.6</v>
      </c>
      <c r="N43" s="67">
        <f t="shared" si="23"/>
        <v>7033.6</v>
      </c>
      <c r="O43" s="67">
        <f t="shared" si="23"/>
        <v>7033.6</v>
      </c>
      <c r="P43" s="67">
        <f t="shared" si="23"/>
        <v>3716.2</v>
      </c>
    </row>
    <row r="44" spans="1:16" x14ac:dyDescent="0.35">
      <c r="A44" s="21" t="s">
        <v>159</v>
      </c>
      <c r="B44" s="22"/>
      <c r="C44" s="75"/>
      <c r="D44" s="29"/>
      <c r="E44" s="29"/>
      <c r="F44" s="29"/>
      <c r="G44" s="58"/>
      <c r="H44" s="29"/>
      <c r="I44" s="29"/>
      <c r="J44" s="23"/>
      <c r="K44" s="60"/>
      <c r="L44" s="60"/>
      <c r="M44" s="60"/>
      <c r="N44" s="60"/>
      <c r="O44" s="23"/>
      <c r="P44" s="29"/>
    </row>
    <row r="45" spans="1:16" x14ac:dyDescent="0.35">
      <c r="A45" s="26" t="s">
        <v>238</v>
      </c>
      <c r="B45" s="27" t="s">
        <v>162</v>
      </c>
      <c r="C45" s="75">
        <f t="shared" ref="C45:I45" si="24">C39</f>
        <v>0</v>
      </c>
      <c r="D45" s="29">
        <f t="shared" si="24"/>
        <v>0</v>
      </c>
      <c r="E45" s="29">
        <f t="shared" si="24"/>
        <v>0</v>
      </c>
      <c r="F45" s="29">
        <f t="shared" si="24"/>
        <v>0</v>
      </c>
      <c r="G45" s="29"/>
      <c r="H45" s="29">
        <f t="shared" si="24"/>
        <v>0</v>
      </c>
      <c r="I45" s="29">
        <f t="shared" si="24"/>
        <v>0</v>
      </c>
      <c r="J45" s="29"/>
      <c r="K45" s="29"/>
      <c r="L45" s="29"/>
      <c r="M45" s="29"/>
      <c r="N45" s="29"/>
      <c r="O45" s="29"/>
      <c r="P45" s="29"/>
    </row>
    <row r="46" spans="1:16" x14ac:dyDescent="0.35">
      <c r="A46" s="26" t="s">
        <v>238</v>
      </c>
      <c r="B46" s="27" t="s">
        <v>163</v>
      </c>
      <c r="C46" s="75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</row>
    <row r="47" spans="1:16" x14ac:dyDescent="0.35">
      <c r="A47" s="26" t="s">
        <v>164</v>
      </c>
      <c r="B47" s="27"/>
      <c r="C47" s="75"/>
      <c r="D47" s="29"/>
      <c r="E47" s="29"/>
      <c r="F47" s="29"/>
      <c r="G47" s="58"/>
      <c r="H47" s="29"/>
      <c r="I47" s="29"/>
      <c r="J47" s="23"/>
      <c r="K47" s="60"/>
      <c r="L47" s="58"/>
      <c r="M47" s="23"/>
      <c r="N47" s="60"/>
      <c r="O47" s="29"/>
      <c r="P47" s="29"/>
    </row>
    <row r="48" spans="1:16" x14ac:dyDescent="0.35">
      <c r="A48" s="61" t="s">
        <v>165</v>
      </c>
      <c r="B48" s="62"/>
      <c r="C48" s="75"/>
      <c r="D48" s="29"/>
      <c r="E48" s="29"/>
      <c r="F48" s="29"/>
      <c r="G48" s="34"/>
      <c r="H48" s="29"/>
      <c r="I48" s="29"/>
      <c r="J48" s="29"/>
      <c r="K48" s="34"/>
      <c r="L48" s="34"/>
      <c r="M48" s="29"/>
      <c r="N48" s="34"/>
      <c r="O48" s="29"/>
      <c r="P48" s="29"/>
    </row>
    <row r="49" spans="1:16" x14ac:dyDescent="0.35">
      <c r="A49" s="225" t="s">
        <v>167</v>
      </c>
      <c r="B49" s="63"/>
      <c r="C49" s="64">
        <f>IFERROR(C46-C45,"")</f>
        <v>0</v>
      </c>
      <c r="D49" s="64">
        <f t="shared" ref="D49:P49" si="25">IFERROR(D46-D45,"")</f>
        <v>0</v>
      </c>
      <c r="E49" s="64">
        <f t="shared" si="25"/>
        <v>0</v>
      </c>
      <c r="F49" s="64">
        <f t="shared" si="25"/>
        <v>0</v>
      </c>
      <c r="G49" s="64">
        <f t="shared" si="25"/>
        <v>0</v>
      </c>
      <c r="H49" s="64">
        <f t="shared" si="25"/>
        <v>0</v>
      </c>
      <c r="I49" s="64">
        <f t="shared" si="25"/>
        <v>0</v>
      </c>
      <c r="J49" s="64">
        <f t="shared" si="25"/>
        <v>0</v>
      </c>
      <c r="K49" s="64">
        <f t="shared" si="25"/>
        <v>0</v>
      </c>
      <c r="L49" s="64">
        <f t="shared" si="25"/>
        <v>0</v>
      </c>
      <c r="M49" s="64">
        <f t="shared" si="25"/>
        <v>0</v>
      </c>
      <c r="N49" s="64">
        <f t="shared" si="25"/>
        <v>0</v>
      </c>
      <c r="O49" s="64">
        <f t="shared" si="25"/>
        <v>0</v>
      </c>
      <c r="P49" s="64">
        <f t="shared" si="25"/>
        <v>0</v>
      </c>
    </row>
    <row r="50" spans="1:16" s="68" customFormat="1" x14ac:dyDescent="0.35">
      <c r="A50" s="65" t="s">
        <v>2</v>
      </c>
      <c r="B50" s="66"/>
      <c r="C50" s="67">
        <f>AVERAGE(C49,C42,C35,C28,C21,C14)</f>
        <v>5039.333333333333</v>
      </c>
      <c r="D50" s="67">
        <f t="shared" ref="D50:P50" si="26">AVERAGE(D49,D42,D35,D28,D21,D14)</f>
        <v>3096.8333333333335</v>
      </c>
      <c r="E50" s="67">
        <f t="shared" si="26"/>
        <v>3096.8333333333335</v>
      </c>
      <c r="F50" s="67">
        <f t="shared" si="26"/>
        <v>5679</v>
      </c>
      <c r="G50" s="67">
        <f t="shared" si="26"/>
        <v>3096.8333333333335</v>
      </c>
      <c r="H50" s="67">
        <f t="shared" si="26"/>
        <v>3096.8333333333335</v>
      </c>
      <c r="I50" s="67">
        <f t="shared" si="26"/>
        <v>5679</v>
      </c>
      <c r="J50" s="67">
        <f t="shared" si="26"/>
        <v>3096.8333333333335</v>
      </c>
      <c r="K50" s="67">
        <f t="shared" si="26"/>
        <v>5465.166666666667</v>
      </c>
      <c r="L50" s="67">
        <f t="shared" si="26"/>
        <v>5039.333333333333</v>
      </c>
      <c r="M50" s="67">
        <f t="shared" si="26"/>
        <v>5861.333333333333</v>
      </c>
      <c r="N50" s="67">
        <f t="shared" si="26"/>
        <v>5861.333333333333</v>
      </c>
      <c r="O50" s="67">
        <f t="shared" si="26"/>
        <v>5861.333333333333</v>
      </c>
      <c r="P50" s="67">
        <f t="shared" si="26"/>
        <v>3096.8333333333335</v>
      </c>
    </row>
    <row r="51" spans="1:16" x14ac:dyDescent="0.35">
      <c r="A51" s="21" t="s">
        <v>159</v>
      </c>
      <c r="B51" s="22"/>
      <c r="C51" s="75"/>
      <c r="D51" s="29"/>
      <c r="E51" s="29"/>
      <c r="F51" s="29"/>
      <c r="G51" s="58"/>
      <c r="H51" s="29"/>
      <c r="I51" s="29"/>
      <c r="J51" s="23"/>
      <c r="K51" s="60"/>
      <c r="L51" s="29"/>
      <c r="M51" s="29"/>
      <c r="N51" s="58"/>
      <c r="O51" s="23"/>
      <c r="P51" s="29"/>
    </row>
    <row r="52" spans="1:16" x14ac:dyDescent="0.35">
      <c r="A52" s="26" t="s">
        <v>238</v>
      </c>
      <c r="B52" s="27" t="s">
        <v>162</v>
      </c>
      <c r="C52" s="75">
        <f t="shared" ref="C52:I52" si="27">C46</f>
        <v>0</v>
      </c>
      <c r="D52" s="29">
        <f t="shared" si="27"/>
        <v>0</v>
      </c>
      <c r="E52" s="29">
        <f t="shared" si="27"/>
        <v>0</v>
      </c>
      <c r="F52" s="29">
        <f t="shared" si="27"/>
        <v>0</v>
      </c>
      <c r="G52" s="29"/>
      <c r="H52" s="29">
        <f t="shared" si="27"/>
        <v>0</v>
      </c>
      <c r="I52" s="29">
        <f t="shared" si="27"/>
        <v>0</v>
      </c>
      <c r="J52" s="29"/>
      <c r="K52" s="29"/>
      <c r="L52" s="29"/>
      <c r="M52" s="29"/>
      <c r="N52" s="29"/>
      <c r="O52" s="29"/>
      <c r="P52" s="29"/>
    </row>
    <row r="53" spans="1:16" x14ac:dyDescent="0.35">
      <c r="A53" s="26" t="s">
        <v>238</v>
      </c>
      <c r="B53" s="27" t="s">
        <v>163</v>
      </c>
      <c r="C53" s="75"/>
      <c r="D53" s="29"/>
      <c r="E53" s="29"/>
      <c r="F53" s="29"/>
      <c r="G53" s="74"/>
      <c r="H53" s="29"/>
      <c r="I53" s="29"/>
      <c r="J53" s="29"/>
      <c r="K53" s="29"/>
      <c r="L53" s="29"/>
      <c r="M53" s="29"/>
      <c r="N53" s="29"/>
      <c r="O53" s="29"/>
      <c r="P53" s="29"/>
    </row>
    <row r="54" spans="1:16" x14ac:dyDescent="0.35">
      <c r="A54" s="26" t="s">
        <v>164</v>
      </c>
      <c r="B54" s="27"/>
      <c r="C54" s="75"/>
      <c r="D54" s="29"/>
      <c r="E54" s="29"/>
      <c r="F54" s="29"/>
      <c r="G54" s="60"/>
      <c r="H54" s="29"/>
      <c r="I54" s="29"/>
      <c r="J54" s="23"/>
      <c r="K54" s="60"/>
      <c r="L54" s="29"/>
      <c r="M54" s="29"/>
      <c r="N54" s="58"/>
      <c r="O54" s="29"/>
      <c r="P54" s="29"/>
    </row>
    <row r="55" spans="1:16" x14ac:dyDescent="0.35">
      <c r="A55" s="61" t="s">
        <v>165</v>
      </c>
      <c r="B55" s="62"/>
      <c r="C55" s="75"/>
      <c r="D55" s="29"/>
      <c r="E55" s="29"/>
      <c r="F55" s="29"/>
      <c r="G55" s="34"/>
      <c r="H55" s="29"/>
      <c r="I55" s="29"/>
      <c r="J55" s="29"/>
      <c r="K55" s="34"/>
      <c r="L55" s="29"/>
      <c r="M55" s="29"/>
      <c r="N55" s="34"/>
      <c r="O55" s="29"/>
      <c r="P55" s="29"/>
    </row>
    <row r="56" spans="1:16" x14ac:dyDescent="0.35">
      <c r="A56" s="225" t="s">
        <v>167</v>
      </c>
      <c r="B56" s="63"/>
      <c r="C56" s="64">
        <f>IFERROR(C53-C52,"")</f>
        <v>0</v>
      </c>
      <c r="D56" s="64">
        <f t="shared" ref="D56:P56" si="28">IFERROR(D53-D52,"")</f>
        <v>0</v>
      </c>
      <c r="E56" s="64">
        <f t="shared" si="28"/>
        <v>0</v>
      </c>
      <c r="F56" s="64">
        <f t="shared" si="28"/>
        <v>0</v>
      </c>
      <c r="G56" s="64">
        <f t="shared" si="28"/>
        <v>0</v>
      </c>
      <c r="H56" s="64">
        <f t="shared" si="28"/>
        <v>0</v>
      </c>
      <c r="I56" s="64">
        <f t="shared" si="28"/>
        <v>0</v>
      </c>
      <c r="J56" s="64">
        <f t="shared" si="28"/>
        <v>0</v>
      </c>
      <c r="K56" s="64">
        <f t="shared" si="28"/>
        <v>0</v>
      </c>
      <c r="L56" s="64">
        <f t="shared" si="28"/>
        <v>0</v>
      </c>
      <c r="M56" s="64">
        <f t="shared" si="28"/>
        <v>0</v>
      </c>
      <c r="N56" s="64">
        <f t="shared" si="28"/>
        <v>0</v>
      </c>
      <c r="O56" s="64">
        <f t="shared" si="28"/>
        <v>0</v>
      </c>
      <c r="P56" s="64">
        <f t="shared" si="28"/>
        <v>0</v>
      </c>
    </row>
    <row r="57" spans="1:16" s="68" customFormat="1" x14ac:dyDescent="0.35">
      <c r="A57" s="65" t="s">
        <v>2</v>
      </c>
      <c r="B57" s="66"/>
      <c r="C57" s="67">
        <f>AVERAGE(C56,C49,C42,C35,C28,C21,C14)</f>
        <v>4319.4285714285716</v>
      </c>
      <c r="D57" s="67">
        <f t="shared" ref="D57:P57" si="29">AVERAGE(D56,D49,D42,D35,D28,D21,D14)</f>
        <v>2654.4285714285716</v>
      </c>
      <c r="E57" s="67">
        <f t="shared" si="29"/>
        <v>2654.4285714285716</v>
      </c>
      <c r="F57" s="67">
        <f t="shared" si="29"/>
        <v>4867.7142857142853</v>
      </c>
      <c r="G57" s="67">
        <f t="shared" si="29"/>
        <v>2654.4285714285716</v>
      </c>
      <c r="H57" s="67">
        <f t="shared" si="29"/>
        <v>2654.4285714285716</v>
      </c>
      <c r="I57" s="67">
        <f t="shared" si="29"/>
        <v>4867.7142857142853</v>
      </c>
      <c r="J57" s="67">
        <f t="shared" si="29"/>
        <v>2654.4285714285716</v>
      </c>
      <c r="K57" s="67">
        <f t="shared" si="29"/>
        <v>4684.4285714285716</v>
      </c>
      <c r="L57" s="67">
        <f t="shared" si="29"/>
        <v>4319.4285714285716</v>
      </c>
      <c r="M57" s="67">
        <f t="shared" si="29"/>
        <v>5024</v>
      </c>
      <c r="N57" s="67">
        <f t="shared" si="29"/>
        <v>5024</v>
      </c>
      <c r="O57" s="67">
        <f t="shared" si="29"/>
        <v>5024</v>
      </c>
      <c r="P57" s="67">
        <f t="shared" si="29"/>
        <v>2654.4285714285716</v>
      </c>
    </row>
    <row r="58" spans="1:16" x14ac:dyDescent="0.35">
      <c r="A58" s="21" t="s">
        <v>159</v>
      </c>
      <c r="B58" s="22"/>
      <c r="C58" s="75"/>
      <c r="D58" s="29"/>
      <c r="E58" s="29"/>
      <c r="F58" s="29"/>
      <c r="G58" s="29"/>
      <c r="H58" s="29"/>
      <c r="I58" s="29"/>
      <c r="J58" s="23"/>
      <c r="K58" s="29"/>
      <c r="L58" s="29"/>
      <c r="M58" s="29"/>
      <c r="N58" s="58"/>
      <c r="O58" s="23"/>
      <c r="P58" s="29"/>
    </row>
    <row r="59" spans="1:16" x14ac:dyDescent="0.35">
      <c r="A59" s="26" t="s">
        <v>238</v>
      </c>
      <c r="B59" s="27" t="s">
        <v>162</v>
      </c>
      <c r="C59" s="75">
        <f t="shared" ref="C59:I59" si="30">C53</f>
        <v>0</v>
      </c>
      <c r="D59" s="29">
        <f t="shared" si="30"/>
        <v>0</v>
      </c>
      <c r="E59" s="29">
        <f t="shared" si="30"/>
        <v>0</v>
      </c>
      <c r="F59" s="29">
        <f t="shared" si="30"/>
        <v>0</v>
      </c>
      <c r="G59" s="29">
        <f t="shared" si="30"/>
        <v>0</v>
      </c>
      <c r="H59" s="29">
        <f t="shared" si="30"/>
        <v>0</v>
      </c>
      <c r="I59" s="29">
        <f t="shared" si="30"/>
        <v>0</v>
      </c>
      <c r="J59" s="29"/>
      <c r="K59" s="29"/>
      <c r="L59" s="29"/>
      <c r="M59" s="29"/>
      <c r="N59" s="29"/>
      <c r="O59" s="29"/>
      <c r="P59" s="29"/>
    </row>
    <row r="60" spans="1:16" x14ac:dyDescent="0.35">
      <c r="A60" s="26" t="s">
        <v>238</v>
      </c>
      <c r="B60" s="27" t="s">
        <v>163</v>
      </c>
      <c r="C60" s="75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</row>
    <row r="61" spans="1:16" x14ac:dyDescent="0.35">
      <c r="A61" s="26" t="s">
        <v>164</v>
      </c>
      <c r="B61" s="27"/>
      <c r="C61" s="75"/>
      <c r="D61" s="29"/>
      <c r="E61" s="29"/>
      <c r="F61" s="29"/>
      <c r="G61" s="29"/>
      <c r="H61" s="29"/>
      <c r="I61" s="29"/>
      <c r="J61" s="23"/>
      <c r="K61" s="29"/>
      <c r="L61" s="29"/>
      <c r="M61" s="29"/>
      <c r="N61" s="58"/>
      <c r="O61" s="29"/>
      <c r="P61" s="29"/>
    </row>
    <row r="62" spans="1:16" x14ac:dyDescent="0.35">
      <c r="A62" s="61" t="s">
        <v>165</v>
      </c>
      <c r="B62" s="62"/>
      <c r="C62" s="75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34"/>
      <c r="O62" s="29"/>
      <c r="P62" s="29"/>
    </row>
    <row r="63" spans="1:16" x14ac:dyDescent="0.35">
      <c r="A63" s="225" t="s">
        <v>167</v>
      </c>
      <c r="B63" s="63"/>
      <c r="C63" s="64">
        <f>IFERROR(C60-C59,"")</f>
        <v>0</v>
      </c>
      <c r="D63" s="64">
        <f t="shared" ref="D63:P63" si="31">IFERROR(D60-D59,"")</f>
        <v>0</v>
      </c>
      <c r="E63" s="64">
        <f t="shared" si="31"/>
        <v>0</v>
      </c>
      <c r="F63" s="64">
        <f t="shared" si="31"/>
        <v>0</v>
      </c>
      <c r="G63" s="64">
        <f t="shared" si="31"/>
        <v>0</v>
      </c>
      <c r="H63" s="64">
        <f t="shared" si="31"/>
        <v>0</v>
      </c>
      <c r="I63" s="64">
        <f t="shared" si="31"/>
        <v>0</v>
      </c>
      <c r="J63" s="64">
        <f t="shared" si="31"/>
        <v>0</v>
      </c>
      <c r="K63" s="64">
        <f t="shared" si="31"/>
        <v>0</v>
      </c>
      <c r="L63" s="64">
        <f t="shared" si="31"/>
        <v>0</v>
      </c>
      <c r="M63" s="64">
        <f t="shared" si="31"/>
        <v>0</v>
      </c>
      <c r="N63" s="64">
        <f t="shared" si="31"/>
        <v>0</v>
      </c>
      <c r="O63" s="64">
        <f t="shared" si="31"/>
        <v>0</v>
      </c>
      <c r="P63" s="64">
        <f t="shared" si="31"/>
        <v>0</v>
      </c>
    </row>
    <row r="64" spans="1:16" s="68" customFormat="1" x14ac:dyDescent="0.35">
      <c r="A64" s="65" t="s">
        <v>2</v>
      </c>
      <c r="B64" s="66"/>
      <c r="C64" s="67">
        <f>AVERAGE(C63,C56,C49,C42,C35,C28,C21,C14)</f>
        <v>3779.5</v>
      </c>
      <c r="D64" s="67">
        <f t="shared" ref="D64:P64" si="32">AVERAGE(D63,D56,D49,D42,D35,D28,D21,D14)</f>
        <v>2322.625</v>
      </c>
      <c r="E64" s="67">
        <f t="shared" si="32"/>
        <v>2322.625</v>
      </c>
      <c r="F64" s="67">
        <f t="shared" si="32"/>
        <v>4259.25</v>
      </c>
      <c r="G64" s="67">
        <f t="shared" si="32"/>
        <v>2322.625</v>
      </c>
      <c r="H64" s="67">
        <f t="shared" si="32"/>
        <v>2322.625</v>
      </c>
      <c r="I64" s="67">
        <f t="shared" si="32"/>
        <v>4259.25</v>
      </c>
      <c r="J64" s="67">
        <f t="shared" si="32"/>
        <v>2322.625</v>
      </c>
      <c r="K64" s="67">
        <f t="shared" si="32"/>
        <v>4098.875</v>
      </c>
      <c r="L64" s="67">
        <f t="shared" si="32"/>
        <v>3779.5</v>
      </c>
      <c r="M64" s="67">
        <f t="shared" si="32"/>
        <v>4396</v>
      </c>
      <c r="N64" s="67">
        <f t="shared" si="32"/>
        <v>4396</v>
      </c>
      <c r="O64" s="67">
        <f t="shared" si="32"/>
        <v>4396</v>
      </c>
      <c r="P64" s="67">
        <f t="shared" si="32"/>
        <v>2322.625</v>
      </c>
    </row>
    <row r="65" spans="1:16" x14ac:dyDescent="0.35">
      <c r="A65" s="21" t="s">
        <v>159</v>
      </c>
      <c r="B65" s="22"/>
      <c r="C65" s="75"/>
      <c r="D65" s="29"/>
      <c r="E65" s="29"/>
      <c r="F65" s="29"/>
      <c r="G65" s="29"/>
      <c r="H65" s="29"/>
      <c r="I65" s="29"/>
      <c r="J65" s="23"/>
      <c r="K65" s="29"/>
      <c r="L65" s="29"/>
      <c r="M65" s="29"/>
      <c r="N65" s="58"/>
      <c r="O65" s="23"/>
      <c r="P65" s="29"/>
    </row>
    <row r="66" spans="1:16" x14ac:dyDescent="0.35">
      <c r="A66" s="26" t="s">
        <v>238</v>
      </c>
      <c r="B66" s="27" t="s">
        <v>162</v>
      </c>
      <c r="C66" s="75">
        <f t="shared" ref="C66:O66" si="33">C60</f>
        <v>0</v>
      </c>
      <c r="D66" s="29">
        <f t="shared" si="33"/>
        <v>0</v>
      </c>
      <c r="E66" s="29">
        <f t="shared" si="33"/>
        <v>0</v>
      </c>
      <c r="F66" s="29">
        <f t="shared" si="33"/>
        <v>0</v>
      </c>
      <c r="G66" s="29">
        <f t="shared" si="33"/>
        <v>0</v>
      </c>
      <c r="H66" s="29">
        <f t="shared" si="33"/>
        <v>0</v>
      </c>
      <c r="I66" s="29">
        <f t="shared" si="33"/>
        <v>0</v>
      </c>
      <c r="J66" s="29">
        <f t="shared" si="33"/>
        <v>0</v>
      </c>
      <c r="K66" s="29">
        <f t="shared" si="33"/>
        <v>0</v>
      </c>
      <c r="L66" s="29">
        <f t="shared" si="33"/>
        <v>0</v>
      </c>
      <c r="M66" s="29">
        <f t="shared" si="33"/>
        <v>0</v>
      </c>
      <c r="N66" s="29"/>
      <c r="O66" s="29">
        <f t="shared" si="33"/>
        <v>0</v>
      </c>
      <c r="P66" s="29"/>
    </row>
    <row r="67" spans="1:16" x14ac:dyDescent="0.35">
      <c r="A67" s="26" t="s">
        <v>238</v>
      </c>
      <c r="B67" s="27" t="s">
        <v>163</v>
      </c>
      <c r="C67" s="75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74"/>
      <c r="O67" s="29"/>
      <c r="P67" s="29"/>
    </row>
    <row r="68" spans="1:16" x14ac:dyDescent="0.35">
      <c r="A68" s="26" t="s">
        <v>164</v>
      </c>
      <c r="B68" s="27"/>
      <c r="C68" s="75"/>
      <c r="D68" s="29"/>
      <c r="E68" s="29"/>
      <c r="F68" s="29"/>
      <c r="G68" s="29"/>
      <c r="H68" s="29"/>
      <c r="I68" s="29"/>
      <c r="J68" s="23"/>
      <c r="K68" s="29"/>
      <c r="L68" s="29"/>
      <c r="M68" s="29"/>
      <c r="N68" s="60"/>
      <c r="O68" s="29"/>
      <c r="P68" s="29"/>
    </row>
    <row r="69" spans="1:16" x14ac:dyDescent="0.35">
      <c r="A69" s="61" t="s">
        <v>165</v>
      </c>
      <c r="B69" s="62"/>
      <c r="C69" s="75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34"/>
      <c r="O69" s="29"/>
      <c r="P69" s="29"/>
    </row>
    <row r="70" spans="1:16" x14ac:dyDescent="0.35">
      <c r="A70" s="225" t="s">
        <v>167</v>
      </c>
      <c r="B70" s="63"/>
      <c r="C70" s="64">
        <f>IFERROR(C67-C66,"")</f>
        <v>0</v>
      </c>
      <c r="D70" s="64">
        <f t="shared" ref="D70:P70" si="34">IFERROR(D67-D66,"")</f>
        <v>0</v>
      </c>
      <c r="E70" s="64">
        <f t="shared" si="34"/>
        <v>0</v>
      </c>
      <c r="F70" s="64">
        <f t="shared" si="34"/>
        <v>0</v>
      </c>
      <c r="G70" s="64">
        <f t="shared" si="34"/>
        <v>0</v>
      </c>
      <c r="H70" s="64">
        <f t="shared" si="34"/>
        <v>0</v>
      </c>
      <c r="I70" s="64">
        <f t="shared" si="34"/>
        <v>0</v>
      </c>
      <c r="J70" s="64">
        <f t="shared" si="34"/>
        <v>0</v>
      </c>
      <c r="K70" s="64">
        <f t="shared" si="34"/>
        <v>0</v>
      </c>
      <c r="L70" s="64">
        <f t="shared" si="34"/>
        <v>0</v>
      </c>
      <c r="M70" s="64">
        <f t="shared" si="34"/>
        <v>0</v>
      </c>
      <c r="N70" s="64">
        <f t="shared" si="34"/>
        <v>0</v>
      </c>
      <c r="O70" s="64">
        <f t="shared" si="34"/>
        <v>0</v>
      </c>
      <c r="P70" s="64">
        <f t="shared" si="34"/>
        <v>0</v>
      </c>
    </row>
    <row r="71" spans="1:16" s="68" customFormat="1" x14ac:dyDescent="0.35">
      <c r="A71" s="65" t="s">
        <v>2</v>
      </c>
      <c r="B71" s="66"/>
      <c r="C71" s="67">
        <f>AVERAGE(C70,C63,C56,C49,C42,C35,C28,C21,C14)</f>
        <v>3359.5555555555557</v>
      </c>
      <c r="D71" s="67">
        <f t="shared" ref="D71:P71" si="35">AVERAGE(D70,D63,D56,D49,D42,D35,D28,D21,D14)</f>
        <v>2064.5555555555557</v>
      </c>
      <c r="E71" s="67">
        <f t="shared" si="35"/>
        <v>2064.5555555555557</v>
      </c>
      <c r="F71" s="67">
        <f t="shared" si="35"/>
        <v>3786</v>
      </c>
      <c r="G71" s="67">
        <f t="shared" si="35"/>
        <v>2064.5555555555557</v>
      </c>
      <c r="H71" s="67">
        <f t="shared" si="35"/>
        <v>2064.5555555555557</v>
      </c>
      <c r="I71" s="67">
        <f t="shared" si="35"/>
        <v>3786</v>
      </c>
      <c r="J71" s="67">
        <f t="shared" si="35"/>
        <v>2064.5555555555557</v>
      </c>
      <c r="K71" s="67">
        <f t="shared" si="35"/>
        <v>3643.4444444444443</v>
      </c>
      <c r="L71" s="67">
        <f t="shared" si="35"/>
        <v>3359.5555555555557</v>
      </c>
      <c r="M71" s="67">
        <f t="shared" si="35"/>
        <v>3907.5555555555557</v>
      </c>
      <c r="N71" s="67">
        <f t="shared" si="35"/>
        <v>3907.5555555555557</v>
      </c>
      <c r="O71" s="67">
        <f t="shared" si="35"/>
        <v>3907.5555555555557</v>
      </c>
      <c r="P71" s="67">
        <f t="shared" si="35"/>
        <v>2064.5555555555557</v>
      </c>
    </row>
    <row r="72" spans="1:16" x14ac:dyDescent="0.35">
      <c r="A72" s="21" t="s">
        <v>159</v>
      </c>
      <c r="B72" s="22"/>
      <c r="C72" s="75"/>
      <c r="D72" s="29"/>
      <c r="E72" s="29"/>
      <c r="F72" s="29"/>
      <c r="G72" s="29"/>
      <c r="H72" s="29"/>
      <c r="I72" s="29"/>
      <c r="J72" s="23"/>
      <c r="K72" s="29"/>
      <c r="L72" s="29"/>
      <c r="M72" s="29"/>
      <c r="N72" s="29"/>
      <c r="O72" s="23"/>
      <c r="P72" s="29"/>
    </row>
    <row r="73" spans="1:16" x14ac:dyDescent="0.35">
      <c r="A73" s="26" t="s">
        <v>238</v>
      </c>
      <c r="B73" s="27" t="s">
        <v>162</v>
      </c>
      <c r="C73" s="75">
        <f t="shared" ref="C73:P73" si="36">C67</f>
        <v>0</v>
      </c>
      <c r="D73" s="29">
        <f t="shared" si="36"/>
        <v>0</v>
      </c>
      <c r="E73" s="29">
        <f t="shared" si="36"/>
        <v>0</v>
      </c>
      <c r="F73" s="29">
        <f t="shared" si="36"/>
        <v>0</v>
      </c>
      <c r="G73" s="29">
        <f t="shared" si="36"/>
        <v>0</v>
      </c>
      <c r="H73" s="29">
        <f t="shared" si="36"/>
        <v>0</v>
      </c>
      <c r="I73" s="29">
        <f t="shared" si="36"/>
        <v>0</v>
      </c>
      <c r="J73" s="29">
        <f t="shared" si="36"/>
        <v>0</v>
      </c>
      <c r="K73" s="29">
        <f t="shared" si="36"/>
        <v>0</v>
      </c>
      <c r="L73" s="29">
        <f t="shared" si="36"/>
        <v>0</v>
      </c>
      <c r="M73" s="29">
        <f t="shared" si="36"/>
        <v>0</v>
      </c>
      <c r="N73" s="29">
        <f>N67</f>
        <v>0</v>
      </c>
      <c r="O73" s="29">
        <f t="shared" si="36"/>
        <v>0</v>
      </c>
      <c r="P73" s="29">
        <f t="shared" si="36"/>
        <v>0</v>
      </c>
    </row>
    <row r="74" spans="1:16" x14ac:dyDescent="0.35">
      <c r="A74" s="26" t="s">
        <v>238</v>
      </c>
      <c r="B74" s="27" t="s">
        <v>163</v>
      </c>
      <c r="C74" s="75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</row>
    <row r="75" spans="1:16" x14ac:dyDescent="0.35">
      <c r="A75" s="26" t="s">
        <v>164</v>
      </c>
      <c r="B75" s="27"/>
      <c r="C75" s="75"/>
      <c r="D75" s="29"/>
      <c r="E75" s="29"/>
      <c r="F75" s="29"/>
      <c r="G75" s="29"/>
      <c r="H75" s="29"/>
      <c r="I75" s="29"/>
      <c r="J75" s="23"/>
      <c r="K75" s="29"/>
      <c r="L75" s="29"/>
      <c r="M75" s="29"/>
      <c r="N75" s="29"/>
      <c r="O75" s="29"/>
      <c r="P75" s="29"/>
    </row>
    <row r="76" spans="1:16" x14ac:dyDescent="0.35">
      <c r="A76" s="61" t="s">
        <v>165</v>
      </c>
      <c r="B76" s="62"/>
      <c r="C76" s="75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</row>
    <row r="77" spans="1:16" x14ac:dyDescent="0.35">
      <c r="A77" s="225" t="s">
        <v>167</v>
      </c>
      <c r="B77" s="63"/>
      <c r="C77" s="64">
        <f>IFERROR(C74-C73,"")</f>
        <v>0</v>
      </c>
      <c r="D77" s="64">
        <f t="shared" ref="D77:P77" si="37">IFERROR(D74-D73,"")</f>
        <v>0</v>
      </c>
      <c r="E77" s="64">
        <f t="shared" si="37"/>
        <v>0</v>
      </c>
      <c r="F77" s="64">
        <f t="shared" si="37"/>
        <v>0</v>
      </c>
      <c r="G77" s="64">
        <f t="shared" si="37"/>
        <v>0</v>
      </c>
      <c r="H77" s="64">
        <f t="shared" si="37"/>
        <v>0</v>
      </c>
      <c r="I77" s="64">
        <f t="shared" si="37"/>
        <v>0</v>
      </c>
      <c r="J77" s="64">
        <f t="shared" si="37"/>
        <v>0</v>
      </c>
      <c r="K77" s="64">
        <f t="shared" si="37"/>
        <v>0</v>
      </c>
      <c r="L77" s="64">
        <f t="shared" si="37"/>
        <v>0</v>
      </c>
      <c r="M77" s="64">
        <f t="shared" si="37"/>
        <v>0</v>
      </c>
      <c r="N77" s="64">
        <f t="shared" si="37"/>
        <v>0</v>
      </c>
      <c r="O77" s="64">
        <f t="shared" si="37"/>
        <v>0</v>
      </c>
      <c r="P77" s="64">
        <f t="shared" si="37"/>
        <v>0</v>
      </c>
    </row>
    <row r="78" spans="1:16" s="68" customFormat="1" x14ac:dyDescent="0.35">
      <c r="A78" s="65" t="s">
        <v>2</v>
      </c>
      <c r="B78" s="66"/>
      <c r="C78" s="67">
        <f>AVERAGE(C77,C70,C63,C56,C49,C42,C35,C28,C21,C14)</f>
        <v>3023.6</v>
      </c>
      <c r="D78" s="67">
        <f t="shared" ref="D78:P78" si="38">AVERAGE(D77,D70,D63,D56,D49,D42,D35,D28,D21,D14)</f>
        <v>1858.1</v>
      </c>
      <c r="E78" s="67">
        <f t="shared" si="38"/>
        <v>1858.1</v>
      </c>
      <c r="F78" s="67">
        <f t="shared" si="38"/>
        <v>3407.4</v>
      </c>
      <c r="G78" s="67">
        <f t="shared" si="38"/>
        <v>1858.1</v>
      </c>
      <c r="H78" s="67">
        <f t="shared" si="38"/>
        <v>1858.1</v>
      </c>
      <c r="I78" s="67">
        <f t="shared" si="38"/>
        <v>3407.4</v>
      </c>
      <c r="J78" s="67">
        <f t="shared" si="38"/>
        <v>1858.1</v>
      </c>
      <c r="K78" s="67">
        <f t="shared" si="38"/>
        <v>3279.1</v>
      </c>
      <c r="L78" s="67">
        <f t="shared" si="38"/>
        <v>3023.6</v>
      </c>
      <c r="M78" s="67">
        <f t="shared" si="38"/>
        <v>3516.8</v>
      </c>
      <c r="N78" s="67">
        <f t="shared" si="38"/>
        <v>3516.8</v>
      </c>
      <c r="O78" s="67">
        <f t="shared" si="38"/>
        <v>3516.8</v>
      </c>
      <c r="P78" s="67">
        <f t="shared" si="38"/>
        <v>1858.1</v>
      </c>
    </row>
    <row r="79" spans="1:16" x14ac:dyDescent="0.35">
      <c r="A79" s="21" t="s">
        <v>159</v>
      </c>
      <c r="B79" s="22"/>
      <c r="C79" s="75"/>
      <c r="D79" s="29"/>
      <c r="E79" s="29"/>
      <c r="F79" s="29"/>
      <c r="G79" s="29"/>
      <c r="H79" s="29"/>
      <c r="I79" s="29"/>
      <c r="J79" s="23"/>
      <c r="K79" s="29"/>
      <c r="L79" s="29"/>
      <c r="M79" s="29"/>
      <c r="N79" s="29"/>
      <c r="O79" s="23"/>
      <c r="P79" s="29"/>
    </row>
    <row r="80" spans="1:16" x14ac:dyDescent="0.35">
      <c r="A80" s="26" t="s">
        <v>238</v>
      </c>
      <c r="B80" s="27" t="s">
        <v>162</v>
      </c>
      <c r="C80" s="75">
        <f t="shared" ref="C80:P80" si="39">C74</f>
        <v>0</v>
      </c>
      <c r="D80" s="29">
        <f t="shared" si="39"/>
        <v>0</v>
      </c>
      <c r="E80" s="29">
        <f t="shared" si="39"/>
        <v>0</v>
      </c>
      <c r="F80" s="29">
        <f t="shared" si="39"/>
        <v>0</v>
      </c>
      <c r="G80" s="29">
        <f t="shared" si="39"/>
        <v>0</v>
      </c>
      <c r="H80" s="29">
        <f t="shared" si="39"/>
        <v>0</v>
      </c>
      <c r="I80" s="29">
        <f t="shared" si="39"/>
        <v>0</v>
      </c>
      <c r="J80" s="29">
        <f t="shared" si="39"/>
        <v>0</v>
      </c>
      <c r="K80" s="29">
        <f t="shared" si="39"/>
        <v>0</v>
      </c>
      <c r="L80" s="29">
        <f t="shared" si="39"/>
        <v>0</v>
      </c>
      <c r="M80" s="29">
        <f t="shared" si="39"/>
        <v>0</v>
      </c>
      <c r="N80" s="29">
        <f>N74</f>
        <v>0</v>
      </c>
      <c r="O80" s="29">
        <f t="shared" si="39"/>
        <v>0</v>
      </c>
      <c r="P80" s="29">
        <f t="shared" si="39"/>
        <v>0</v>
      </c>
    </row>
    <row r="81" spans="1:16" x14ac:dyDescent="0.35">
      <c r="A81" s="26" t="s">
        <v>238</v>
      </c>
      <c r="B81" s="27" t="s">
        <v>163</v>
      </c>
      <c r="C81" s="75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</row>
    <row r="82" spans="1:16" x14ac:dyDescent="0.35">
      <c r="A82" s="26" t="s">
        <v>164</v>
      </c>
      <c r="B82" s="27"/>
      <c r="C82" s="75"/>
      <c r="D82" s="29"/>
      <c r="E82" s="29"/>
      <c r="F82" s="29"/>
      <c r="G82" s="29"/>
      <c r="H82" s="29"/>
      <c r="I82" s="29"/>
      <c r="J82" s="23"/>
      <c r="K82" s="29"/>
      <c r="L82" s="29"/>
      <c r="M82" s="29"/>
      <c r="N82" s="29"/>
      <c r="O82" s="29"/>
      <c r="P82" s="29"/>
    </row>
    <row r="83" spans="1:16" x14ac:dyDescent="0.35">
      <c r="A83" s="61" t="s">
        <v>165</v>
      </c>
      <c r="B83" s="62"/>
      <c r="C83" s="75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</row>
    <row r="84" spans="1:16" x14ac:dyDescent="0.35">
      <c r="A84" s="225" t="s">
        <v>167</v>
      </c>
      <c r="B84" s="63"/>
      <c r="C84" s="64">
        <f>IFERROR(C81-C80,"")</f>
        <v>0</v>
      </c>
      <c r="D84" s="64">
        <f t="shared" ref="D84:P84" si="40">IFERROR(D81-D80,"")</f>
        <v>0</v>
      </c>
      <c r="E84" s="64">
        <f t="shared" si="40"/>
        <v>0</v>
      </c>
      <c r="F84" s="64">
        <f t="shared" si="40"/>
        <v>0</v>
      </c>
      <c r="G84" s="64">
        <f t="shared" si="40"/>
        <v>0</v>
      </c>
      <c r="H84" s="64">
        <f t="shared" si="40"/>
        <v>0</v>
      </c>
      <c r="I84" s="64">
        <f t="shared" si="40"/>
        <v>0</v>
      </c>
      <c r="J84" s="64">
        <f t="shared" si="40"/>
        <v>0</v>
      </c>
      <c r="K84" s="64">
        <f t="shared" si="40"/>
        <v>0</v>
      </c>
      <c r="L84" s="64">
        <f t="shared" si="40"/>
        <v>0</v>
      </c>
      <c r="M84" s="64">
        <f t="shared" si="40"/>
        <v>0</v>
      </c>
      <c r="N84" s="64">
        <f t="shared" si="40"/>
        <v>0</v>
      </c>
      <c r="O84" s="64">
        <f t="shared" si="40"/>
        <v>0</v>
      </c>
      <c r="P84" s="64">
        <f t="shared" si="40"/>
        <v>0</v>
      </c>
    </row>
    <row r="85" spans="1:16" s="68" customFormat="1" x14ac:dyDescent="0.35">
      <c r="A85" s="65" t="s">
        <v>2</v>
      </c>
      <c r="B85" s="66"/>
      <c r="C85" s="67">
        <f>AVERAGE(C84,C77,C70,C63,C56,C49,C42,C35,C28,C21,C14)</f>
        <v>2748.7272727272725</v>
      </c>
      <c r="D85" s="67">
        <f t="shared" ref="D85:P85" si="41">AVERAGE(D84,D77,D70,D63,D56,D49,D42,D35,D28,D21,D14)</f>
        <v>1689.1818181818182</v>
      </c>
      <c r="E85" s="67">
        <f t="shared" si="41"/>
        <v>1689.1818181818182</v>
      </c>
      <c r="F85" s="67">
        <f t="shared" si="41"/>
        <v>3097.6363636363635</v>
      </c>
      <c r="G85" s="67">
        <f t="shared" si="41"/>
        <v>1689.1818181818182</v>
      </c>
      <c r="H85" s="67">
        <f t="shared" si="41"/>
        <v>1689.1818181818182</v>
      </c>
      <c r="I85" s="67">
        <f t="shared" si="41"/>
        <v>3097.6363636363635</v>
      </c>
      <c r="J85" s="67">
        <f t="shared" si="41"/>
        <v>1689.1818181818182</v>
      </c>
      <c r="K85" s="67">
        <f t="shared" si="41"/>
        <v>2981</v>
      </c>
      <c r="L85" s="67">
        <f t="shared" si="41"/>
        <v>2748.7272727272725</v>
      </c>
      <c r="M85" s="67">
        <f t="shared" si="41"/>
        <v>3197.090909090909</v>
      </c>
      <c r="N85" s="67">
        <f t="shared" si="41"/>
        <v>3197.090909090909</v>
      </c>
      <c r="O85" s="67">
        <f t="shared" si="41"/>
        <v>3197.090909090909</v>
      </c>
      <c r="P85" s="67">
        <f t="shared" si="41"/>
        <v>1689.1818181818182</v>
      </c>
    </row>
    <row r="86" spans="1:16" x14ac:dyDescent="0.35">
      <c r="A86" s="21" t="s">
        <v>159</v>
      </c>
      <c r="B86" s="22"/>
      <c r="C86" s="75"/>
      <c r="D86" s="29"/>
      <c r="E86" s="29"/>
      <c r="F86" s="29"/>
      <c r="G86" s="29"/>
      <c r="H86" s="29"/>
      <c r="I86" s="29"/>
      <c r="J86" s="23"/>
      <c r="K86" s="29"/>
      <c r="L86" s="29"/>
      <c r="M86" s="29"/>
      <c r="N86" s="29"/>
      <c r="O86" s="23"/>
      <c r="P86" s="29"/>
    </row>
    <row r="87" spans="1:16" x14ac:dyDescent="0.35">
      <c r="A87" s="26" t="s">
        <v>238</v>
      </c>
      <c r="B87" s="27" t="s">
        <v>162</v>
      </c>
      <c r="C87" s="75">
        <f t="shared" ref="C87:P87" si="42">C81</f>
        <v>0</v>
      </c>
      <c r="D87" s="29">
        <f t="shared" si="42"/>
        <v>0</v>
      </c>
      <c r="E87" s="29">
        <f t="shared" si="42"/>
        <v>0</v>
      </c>
      <c r="F87" s="29">
        <f t="shared" si="42"/>
        <v>0</v>
      </c>
      <c r="G87" s="29">
        <f t="shared" si="42"/>
        <v>0</v>
      </c>
      <c r="H87" s="29">
        <f t="shared" si="42"/>
        <v>0</v>
      </c>
      <c r="I87" s="29">
        <f t="shared" si="42"/>
        <v>0</v>
      </c>
      <c r="J87" s="29">
        <f t="shared" si="42"/>
        <v>0</v>
      </c>
      <c r="K87" s="29">
        <f t="shared" si="42"/>
        <v>0</v>
      </c>
      <c r="L87" s="29">
        <f t="shared" si="42"/>
        <v>0</v>
      </c>
      <c r="M87" s="29">
        <f t="shared" si="42"/>
        <v>0</v>
      </c>
      <c r="N87" s="29">
        <f>N81</f>
        <v>0</v>
      </c>
      <c r="O87" s="29">
        <f t="shared" si="42"/>
        <v>0</v>
      </c>
      <c r="P87" s="29">
        <f t="shared" si="42"/>
        <v>0</v>
      </c>
    </row>
    <row r="88" spans="1:16" x14ac:dyDescent="0.35">
      <c r="A88" s="26" t="s">
        <v>238</v>
      </c>
      <c r="B88" s="27" t="s">
        <v>163</v>
      </c>
      <c r="C88" s="75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</row>
    <row r="89" spans="1:16" x14ac:dyDescent="0.35">
      <c r="A89" s="26" t="s">
        <v>164</v>
      </c>
      <c r="B89" s="27"/>
      <c r="C89" s="75"/>
      <c r="D89" s="29"/>
      <c r="E89" s="29"/>
      <c r="F89" s="29"/>
      <c r="G89" s="29"/>
      <c r="H89" s="29"/>
      <c r="I89" s="29"/>
      <c r="J89" s="23"/>
      <c r="K89" s="29"/>
      <c r="L89" s="29"/>
      <c r="M89" s="29"/>
      <c r="N89" s="29"/>
      <c r="O89" s="29"/>
      <c r="P89" s="29"/>
    </row>
    <row r="90" spans="1:16" x14ac:dyDescent="0.35">
      <c r="A90" s="61" t="s">
        <v>165</v>
      </c>
      <c r="B90" s="62"/>
      <c r="C90" s="75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</row>
    <row r="91" spans="1:16" x14ac:dyDescent="0.35">
      <c r="A91" s="225" t="s">
        <v>167</v>
      </c>
      <c r="B91" s="63"/>
      <c r="C91" s="64">
        <f>IFERROR(C88-C87,"")</f>
        <v>0</v>
      </c>
      <c r="D91" s="64">
        <f t="shared" ref="D91:P91" si="43">IFERROR(D88-D87,"")</f>
        <v>0</v>
      </c>
      <c r="E91" s="64">
        <f t="shared" si="43"/>
        <v>0</v>
      </c>
      <c r="F91" s="64">
        <f t="shared" si="43"/>
        <v>0</v>
      </c>
      <c r="G91" s="64">
        <f t="shared" si="43"/>
        <v>0</v>
      </c>
      <c r="H91" s="64">
        <f t="shared" si="43"/>
        <v>0</v>
      </c>
      <c r="I91" s="64">
        <f t="shared" si="43"/>
        <v>0</v>
      </c>
      <c r="J91" s="64">
        <f t="shared" si="43"/>
        <v>0</v>
      </c>
      <c r="K91" s="64">
        <f t="shared" si="43"/>
        <v>0</v>
      </c>
      <c r="L91" s="64">
        <f t="shared" si="43"/>
        <v>0</v>
      </c>
      <c r="M91" s="64">
        <f t="shared" si="43"/>
        <v>0</v>
      </c>
      <c r="N91" s="64">
        <f t="shared" si="43"/>
        <v>0</v>
      </c>
      <c r="O91" s="64">
        <f t="shared" si="43"/>
        <v>0</v>
      </c>
      <c r="P91" s="64">
        <f t="shared" si="43"/>
        <v>0</v>
      </c>
    </row>
    <row r="92" spans="1:16" s="68" customFormat="1" x14ac:dyDescent="0.35">
      <c r="A92" s="65" t="s">
        <v>2</v>
      </c>
      <c r="B92" s="66"/>
      <c r="C92" s="67">
        <f>AVERAGE(C91,C84,C77,C70,C63,C56,C49,C42,C35,C28,C21,C14)</f>
        <v>2519.6666666666665</v>
      </c>
      <c r="D92" s="67">
        <f t="shared" ref="D92:P92" si="44">AVERAGE(D91,D84,D77,D70,D63,D56,D49,D42,D35,D28,D21,D14)</f>
        <v>1548.4166666666667</v>
      </c>
      <c r="E92" s="67">
        <f t="shared" si="44"/>
        <v>1548.4166666666667</v>
      </c>
      <c r="F92" s="67">
        <f t="shared" si="44"/>
        <v>2839.5</v>
      </c>
      <c r="G92" s="67">
        <f t="shared" si="44"/>
        <v>1548.4166666666667</v>
      </c>
      <c r="H92" s="67">
        <f t="shared" si="44"/>
        <v>1548.4166666666667</v>
      </c>
      <c r="I92" s="67">
        <f t="shared" si="44"/>
        <v>2839.5</v>
      </c>
      <c r="J92" s="67">
        <f t="shared" si="44"/>
        <v>1548.4166666666667</v>
      </c>
      <c r="K92" s="67">
        <f t="shared" si="44"/>
        <v>2732.5833333333335</v>
      </c>
      <c r="L92" s="67">
        <f t="shared" si="44"/>
        <v>2519.6666666666665</v>
      </c>
      <c r="M92" s="67">
        <f t="shared" si="44"/>
        <v>2930.6666666666665</v>
      </c>
      <c r="N92" s="67">
        <f t="shared" si="44"/>
        <v>2930.6666666666665</v>
      </c>
      <c r="O92" s="67">
        <f t="shared" si="44"/>
        <v>2930.6666666666665</v>
      </c>
      <c r="P92" s="67">
        <f t="shared" si="44"/>
        <v>1548.4166666666667</v>
      </c>
    </row>
    <row r="93" spans="1:16" x14ac:dyDescent="0.35">
      <c r="A93" s="227"/>
    </row>
  </sheetData>
  <sheetProtection algorithmName="SHA-512" hashValue="wnz4w6d7g+ZM3GTRxnWCHco+S8AHEnEkKMJQkt7aqf+JbxztNQiBOpuPXoZnK8KSngkKy6FBEFTRyHBpL9kJRA==" saltValue="C09fZh32/SnY0SFyLQPA2Q==" spinCount="100000" sheet="1" objects="1" scenarios="1"/>
  <conditionalFormatting sqref="E35">
    <cfRule type="cellIs" priority="1" operator="between">
      <formula>500</formula>
      <formula>9999999</formula>
    </cfRule>
    <cfRule type="cellIs" priority="2" operator="between">
      <formula>100</formula>
      <formula>999999999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A113"/>
  <sheetViews>
    <sheetView zoomScale="70" zoomScaleNormal="70" workbookViewId="0">
      <pane xSplit="2" ySplit="6" topLeftCell="C39" activePane="bottomRight" state="frozen"/>
      <selection pane="topRight" activeCell="E19" sqref="E19"/>
      <selection pane="bottomLeft" activeCell="E19" sqref="E19"/>
      <selection pane="bottomRight" activeCell="C113" sqref="C113:N113"/>
    </sheetView>
  </sheetViews>
  <sheetFormatPr defaultColWidth="8.81640625" defaultRowHeight="14.5" x14ac:dyDescent="0.35"/>
  <cols>
    <col min="1" max="1" width="21.81640625" style="1" bestFit="1" customWidth="1"/>
    <col min="2" max="2" width="22.1796875" style="1" customWidth="1"/>
    <col min="3" max="3" width="22.81640625" style="1" customWidth="1"/>
    <col min="4" max="4" width="25.1796875" style="1" customWidth="1"/>
    <col min="5" max="5" width="21.54296875" style="1" bestFit="1" customWidth="1"/>
    <col min="6" max="6" width="22" style="1" customWidth="1"/>
    <col min="7" max="7" width="22.1796875" style="1" customWidth="1"/>
    <col min="8" max="8" width="26.1796875" style="1" customWidth="1"/>
    <col min="9" max="9" width="21.81640625" style="1" customWidth="1"/>
    <col min="10" max="10" width="21.453125" style="1" bestFit="1" customWidth="1"/>
    <col min="11" max="11" width="22.81640625" style="1" customWidth="1"/>
    <col min="12" max="13" width="24.1796875" style="1" customWidth="1"/>
    <col min="14" max="14" width="20.81640625" style="1" customWidth="1"/>
    <col min="15" max="15" width="21" style="1" customWidth="1"/>
    <col min="16" max="16" width="23.1796875" style="1" customWidth="1"/>
    <col min="17" max="17" width="19.54296875" style="1" bestFit="1" customWidth="1"/>
    <col min="18" max="18" width="19.81640625" style="1" bestFit="1" customWidth="1"/>
    <col min="19" max="19" width="19.1796875" style="1" bestFit="1" customWidth="1"/>
    <col min="20" max="16384" width="8.81640625" style="1"/>
  </cols>
  <sheetData>
    <row r="1" spans="1:27" ht="24" thickBot="1" x14ac:dyDescent="0.4">
      <c r="A1" s="99"/>
      <c r="C1" s="99"/>
    </row>
    <row r="2" spans="1:27" x14ac:dyDescent="0.35">
      <c r="E2" s="2" t="s">
        <v>226</v>
      </c>
      <c r="F2" s="3" t="s">
        <v>104</v>
      </c>
      <c r="G2" s="3"/>
      <c r="H2" s="3" t="s">
        <v>227</v>
      </c>
      <c r="I2" s="4"/>
    </row>
    <row r="3" spans="1:27" ht="29.5" thickBot="1" x14ac:dyDescent="0.4">
      <c r="E3" s="40" t="s">
        <v>228</v>
      </c>
      <c r="F3" s="6" t="s">
        <v>106</v>
      </c>
      <c r="G3" s="6"/>
      <c r="H3" s="6" t="s">
        <v>229</v>
      </c>
      <c r="I3" s="8"/>
    </row>
    <row r="4" spans="1:27" ht="15" thickBot="1" x14ac:dyDescent="0.4">
      <c r="A4" s="1" t="s">
        <v>230</v>
      </c>
      <c r="B4" s="1" t="s">
        <v>169</v>
      </c>
      <c r="E4" s="41"/>
      <c r="F4" s="42" t="s">
        <v>231</v>
      </c>
      <c r="G4" s="42"/>
      <c r="H4" s="43" t="s">
        <v>232</v>
      </c>
      <c r="I4" s="44"/>
    </row>
    <row r="5" spans="1:27" ht="15" thickBot="1" x14ac:dyDescent="0.4">
      <c r="A5" s="45" t="s">
        <v>3</v>
      </c>
      <c r="B5" s="46" t="s">
        <v>233</v>
      </c>
      <c r="D5" s="47"/>
      <c r="E5" s="48"/>
      <c r="F5" s="6" t="s">
        <v>234</v>
      </c>
      <c r="G5" s="6"/>
      <c r="H5" s="6"/>
      <c r="I5" s="8"/>
      <c r="M5" s="47"/>
      <c r="O5" s="47"/>
      <c r="P5" s="47"/>
    </row>
    <row r="6" spans="1:27" s="55" customFormat="1" ht="42.75" customHeight="1" thickBot="1" x14ac:dyDescent="0.4">
      <c r="A6" s="49" t="s">
        <v>257</v>
      </c>
      <c r="B6" s="50" t="s">
        <v>236</v>
      </c>
      <c r="C6" s="51" t="s">
        <v>4</v>
      </c>
      <c r="D6" s="14" t="s">
        <v>5</v>
      </c>
      <c r="E6" s="52" t="s">
        <v>6</v>
      </c>
      <c r="F6" s="52" t="s">
        <v>7</v>
      </c>
      <c r="G6" s="14" t="s">
        <v>8</v>
      </c>
      <c r="H6" s="14" t="s">
        <v>9</v>
      </c>
      <c r="I6" s="52" t="s">
        <v>10</v>
      </c>
      <c r="J6" s="14" t="s">
        <v>11</v>
      </c>
      <c r="K6" s="52" t="s">
        <v>12</v>
      </c>
      <c r="L6" s="52" t="s">
        <v>13</v>
      </c>
      <c r="M6" s="52" t="s">
        <v>14</v>
      </c>
      <c r="N6" s="53" t="s">
        <v>15</v>
      </c>
      <c r="O6" s="14" t="s">
        <v>16</v>
      </c>
      <c r="P6" s="52" t="s">
        <v>17</v>
      </c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</row>
    <row r="7" spans="1:27" s="55" customFormat="1" ht="15" customHeight="1" x14ac:dyDescent="0.35">
      <c r="A7" s="94" t="s">
        <v>137</v>
      </c>
      <c r="B7" s="94"/>
      <c r="C7" s="107"/>
      <c r="D7" s="108"/>
      <c r="E7" s="109"/>
      <c r="F7" s="109"/>
      <c r="G7" s="109"/>
      <c r="H7" s="109"/>
      <c r="I7" s="109"/>
      <c r="J7" s="109"/>
      <c r="K7" s="109"/>
      <c r="L7" s="109"/>
      <c r="M7" s="109"/>
      <c r="N7" s="110"/>
      <c r="O7" s="109"/>
      <c r="P7" s="109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</row>
    <row r="8" spans="1:27" s="55" customFormat="1" ht="15" customHeight="1" x14ac:dyDescent="0.35">
      <c r="A8" s="95" t="s">
        <v>158</v>
      </c>
      <c r="B8" s="95"/>
      <c r="C8" s="111"/>
      <c r="D8" s="112"/>
      <c r="E8" s="113"/>
      <c r="F8" s="113"/>
      <c r="G8" s="113"/>
      <c r="H8" s="113"/>
      <c r="I8" s="113"/>
      <c r="J8" s="113"/>
      <c r="K8" s="113"/>
      <c r="L8" s="113"/>
      <c r="M8" s="113"/>
      <c r="N8" s="114"/>
      <c r="O8" s="113"/>
      <c r="P8" s="113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</row>
    <row r="9" spans="1:27" x14ac:dyDescent="0.35">
      <c r="A9" s="26" t="s">
        <v>159</v>
      </c>
      <c r="B9" s="27"/>
      <c r="C9" s="56" t="s">
        <v>246</v>
      </c>
      <c r="D9" s="56" t="s">
        <v>246</v>
      </c>
      <c r="E9" s="57" t="s">
        <v>246</v>
      </c>
      <c r="F9" s="57" t="s">
        <v>246</v>
      </c>
      <c r="G9" s="58">
        <v>43229</v>
      </c>
      <c r="H9" s="58">
        <v>43229</v>
      </c>
      <c r="I9" s="57" t="s">
        <v>246</v>
      </c>
      <c r="J9" s="57" t="s">
        <v>246</v>
      </c>
      <c r="K9" s="57" t="s">
        <v>246</v>
      </c>
      <c r="L9" s="57" t="s">
        <v>246</v>
      </c>
      <c r="M9" s="57" t="s">
        <v>246</v>
      </c>
      <c r="N9" s="57" t="s">
        <v>246</v>
      </c>
      <c r="O9" s="57" t="s">
        <v>246</v>
      </c>
      <c r="P9" s="57" t="s">
        <v>246</v>
      </c>
    </row>
    <row r="10" spans="1:27" x14ac:dyDescent="0.35">
      <c r="A10" s="26" t="s">
        <v>238</v>
      </c>
      <c r="B10" s="27" t="s">
        <v>162</v>
      </c>
      <c r="C10" s="59">
        <v>0</v>
      </c>
      <c r="D10" s="59">
        <v>0</v>
      </c>
      <c r="E10" s="59">
        <v>0</v>
      </c>
      <c r="F10" s="59">
        <v>0</v>
      </c>
      <c r="G10" s="29">
        <v>0</v>
      </c>
      <c r="H10" s="29">
        <v>12160</v>
      </c>
      <c r="I10" s="59">
        <v>0</v>
      </c>
      <c r="J10" s="59">
        <v>0</v>
      </c>
      <c r="K10" s="59">
        <v>0</v>
      </c>
      <c r="L10" s="59">
        <v>0</v>
      </c>
      <c r="M10" s="59">
        <v>0</v>
      </c>
      <c r="N10" s="59">
        <v>0</v>
      </c>
      <c r="O10" s="59">
        <v>0</v>
      </c>
      <c r="P10" s="59">
        <v>0</v>
      </c>
    </row>
    <row r="11" spans="1:27" x14ac:dyDescent="0.35">
      <c r="A11" s="26" t="s">
        <v>238</v>
      </c>
      <c r="B11" s="27" t="s">
        <v>163</v>
      </c>
      <c r="C11" s="29">
        <v>12160</v>
      </c>
      <c r="D11" s="29">
        <v>12160</v>
      </c>
      <c r="E11" s="29">
        <v>12160</v>
      </c>
      <c r="F11" s="59">
        <v>7977</v>
      </c>
      <c r="G11" s="29">
        <v>15156</v>
      </c>
      <c r="H11" s="29">
        <v>15156</v>
      </c>
      <c r="I11" s="59">
        <v>7977</v>
      </c>
      <c r="J11" s="29">
        <v>12160</v>
      </c>
      <c r="K11" s="59">
        <v>7977</v>
      </c>
      <c r="L11" s="59">
        <v>7977</v>
      </c>
      <c r="M11" s="59">
        <v>7797</v>
      </c>
      <c r="N11" s="59">
        <v>7797</v>
      </c>
      <c r="O11" s="59">
        <v>7797</v>
      </c>
      <c r="P11" s="59">
        <v>3264</v>
      </c>
    </row>
    <row r="12" spans="1:27" x14ac:dyDescent="0.35">
      <c r="A12" s="26" t="s">
        <v>164</v>
      </c>
      <c r="B12" s="27"/>
      <c r="C12" s="60">
        <v>43229</v>
      </c>
      <c r="D12" s="60">
        <v>43229</v>
      </c>
      <c r="E12" s="60">
        <v>43229</v>
      </c>
      <c r="F12" s="60">
        <v>43021</v>
      </c>
      <c r="G12" s="58">
        <v>43351</v>
      </c>
      <c r="H12" s="58">
        <v>43351</v>
      </c>
      <c r="I12" s="60">
        <v>43021</v>
      </c>
      <c r="J12" s="60">
        <v>43229</v>
      </c>
      <c r="K12" s="60">
        <v>43021</v>
      </c>
      <c r="L12" s="60">
        <v>43021</v>
      </c>
      <c r="M12" s="60">
        <v>43021</v>
      </c>
      <c r="N12" s="60">
        <v>43021</v>
      </c>
      <c r="O12" s="60">
        <v>43021</v>
      </c>
      <c r="P12" s="60">
        <v>42815</v>
      </c>
    </row>
    <row r="13" spans="1:27" ht="29" x14ac:dyDescent="0.35">
      <c r="A13" s="61" t="s">
        <v>165</v>
      </c>
      <c r="B13" s="62"/>
      <c r="C13" s="34" t="s">
        <v>258</v>
      </c>
      <c r="D13" s="34" t="s">
        <v>258</v>
      </c>
      <c r="E13" s="34" t="s">
        <v>258</v>
      </c>
      <c r="F13" s="34" t="s">
        <v>259</v>
      </c>
      <c r="G13" s="34" t="s">
        <v>258</v>
      </c>
      <c r="H13" s="34" t="s">
        <v>258</v>
      </c>
      <c r="I13" s="34" t="s">
        <v>260</v>
      </c>
      <c r="J13" s="34" t="s">
        <v>258</v>
      </c>
      <c r="K13" s="34" t="s">
        <v>258</v>
      </c>
      <c r="L13" s="34" t="s">
        <v>258</v>
      </c>
      <c r="M13" s="34" t="s">
        <v>258</v>
      </c>
      <c r="N13" s="34" t="s">
        <v>258</v>
      </c>
      <c r="O13" s="34" t="s">
        <v>258</v>
      </c>
      <c r="P13" s="34" t="s">
        <v>166</v>
      </c>
    </row>
    <row r="14" spans="1:27" x14ac:dyDescent="0.35">
      <c r="A14" s="225" t="s">
        <v>167</v>
      </c>
      <c r="B14" s="63"/>
      <c r="C14" s="64">
        <f t="shared" ref="C14:F14" si="0">IFERROR(C11-C10,"")</f>
        <v>12160</v>
      </c>
      <c r="D14" s="64">
        <f t="shared" si="0"/>
        <v>12160</v>
      </c>
      <c r="E14" s="64">
        <f t="shared" si="0"/>
        <v>12160</v>
      </c>
      <c r="F14" s="64">
        <f t="shared" si="0"/>
        <v>7977</v>
      </c>
      <c r="G14" s="64">
        <f>IFERROR(G11-G10,"")</f>
        <v>15156</v>
      </c>
      <c r="H14" s="64">
        <f t="shared" ref="H14:P14" si="1">IFERROR(H11-H10,"")</f>
        <v>2996</v>
      </c>
      <c r="I14" s="64">
        <f t="shared" si="1"/>
        <v>7977</v>
      </c>
      <c r="J14" s="64">
        <f t="shared" si="1"/>
        <v>12160</v>
      </c>
      <c r="K14" s="64">
        <f t="shared" si="1"/>
        <v>7977</v>
      </c>
      <c r="L14" s="64">
        <f t="shared" si="1"/>
        <v>7977</v>
      </c>
      <c r="M14" s="64">
        <f t="shared" si="1"/>
        <v>7797</v>
      </c>
      <c r="N14" s="64">
        <f t="shared" si="1"/>
        <v>7797</v>
      </c>
      <c r="O14" s="64">
        <f t="shared" si="1"/>
        <v>7797</v>
      </c>
      <c r="P14" s="64">
        <f t="shared" si="1"/>
        <v>3264</v>
      </c>
    </row>
    <row r="15" spans="1:27" s="68" customFormat="1" x14ac:dyDescent="0.35">
      <c r="A15" s="65" t="s">
        <v>2</v>
      </c>
      <c r="B15" s="66"/>
      <c r="C15" s="67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</row>
    <row r="16" spans="1:27" x14ac:dyDescent="0.35">
      <c r="A16" s="21" t="s">
        <v>159</v>
      </c>
      <c r="B16" s="22"/>
      <c r="C16" s="60">
        <v>43229</v>
      </c>
      <c r="D16" s="60">
        <v>43229</v>
      </c>
      <c r="E16" s="60">
        <v>43229</v>
      </c>
      <c r="F16" s="60">
        <v>43021</v>
      </c>
      <c r="G16" s="58">
        <v>43351</v>
      </c>
      <c r="H16" s="58">
        <v>43351</v>
      </c>
      <c r="I16" s="57">
        <v>43021</v>
      </c>
      <c r="J16" s="60">
        <v>43229</v>
      </c>
      <c r="K16" s="60">
        <v>43021</v>
      </c>
      <c r="L16" s="60">
        <v>43021</v>
      </c>
      <c r="M16" s="60">
        <v>43021</v>
      </c>
      <c r="N16" s="60">
        <v>43021</v>
      </c>
      <c r="O16" s="60">
        <v>43021</v>
      </c>
      <c r="P16" s="60">
        <v>42815</v>
      </c>
    </row>
    <row r="17" spans="1:16" x14ac:dyDescent="0.35">
      <c r="A17" s="26" t="s">
        <v>238</v>
      </c>
      <c r="B17" s="27" t="s">
        <v>162</v>
      </c>
      <c r="C17" s="59">
        <v>12160</v>
      </c>
      <c r="D17" s="59">
        <v>12160</v>
      </c>
      <c r="E17" s="59">
        <v>12160</v>
      </c>
      <c r="F17" s="59">
        <v>7977</v>
      </c>
      <c r="G17" s="29">
        <v>15156</v>
      </c>
      <c r="H17" s="29">
        <v>15156</v>
      </c>
      <c r="I17" s="59">
        <v>7977</v>
      </c>
      <c r="J17" s="29">
        <v>12160</v>
      </c>
      <c r="K17" s="59">
        <v>7977</v>
      </c>
      <c r="L17" s="59">
        <v>7977</v>
      </c>
      <c r="M17" s="59">
        <v>7797</v>
      </c>
      <c r="N17" s="59">
        <v>7797</v>
      </c>
      <c r="O17" s="59">
        <v>7797</v>
      </c>
      <c r="P17" s="59">
        <v>3264</v>
      </c>
    </row>
    <row r="18" spans="1:16" x14ac:dyDescent="0.35">
      <c r="A18" s="26" t="s">
        <v>238</v>
      </c>
      <c r="B18" s="27" t="s">
        <v>163</v>
      </c>
      <c r="C18" s="59">
        <v>17105</v>
      </c>
      <c r="D18" s="59">
        <v>17105</v>
      </c>
      <c r="E18" s="59">
        <v>17105</v>
      </c>
      <c r="F18" s="29">
        <v>12160</v>
      </c>
      <c r="G18" s="29">
        <v>17105</v>
      </c>
      <c r="H18" s="29">
        <v>17105</v>
      </c>
      <c r="I18" s="59">
        <v>12160</v>
      </c>
      <c r="J18" s="29">
        <v>17105</v>
      </c>
      <c r="K18" s="29">
        <v>11914</v>
      </c>
      <c r="L18" s="29">
        <v>12160</v>
      </c>
      <c r="M18" s="59">
        <v>12160</v>
      </c>
      <c r="N18" s="59">
        <v>12160</v>
      </c>
      <c r="O18" s="59">
        <v>12160</v>
      </c>
      <c r="P18" s="29">
        <v>5984</v>
      </c>
    </row>
    <row r="19" spans="1:16" x14ac:dyDescent="0.35">
      <c r="A19" s="26" t="s">
        <v>164</v>
      </c>
      <c r="B19" s="27"/>
      <c r="C19" s="60">
        <v>43451</v>
      </c>
      <c r="D19" s="60">
        <v>43451</v>
      </c>
      <c r="E19" s="60">
        <v>43451</v>
      </c>
      <c r="F19" s="60">
        <v>43229</v>
      </c>
      <c r="G19" s="58">
        <v>43451</v>
      </c>
      <c r="H19" s="58">
        <v>43451</v>
      </c>
      <c r="I19" s="60">
        <v>43229</v>
      </c>
      <c r="J19" s="60">
        <v>43451</v>
      </c>
      <c r="K19" s="60">
        <v>43216</v>
      </c>
      <c r="L19" s="60">
        <v>43229</v>
      </c>
      <c r="M19" s="60">
        <v>43229</v>
      </c>
      <c r="N19" s="60">
        <v>43229</v>
      </c>
      <c r="O19" s="60">
        <v>43229</v>
      </c>
      <c r="P19" s="60">
        <v>42940</v>
      </c>
    </row>
    <row r="20" spans="1:16" ht="43.5" x14ac:dyDescent="0.35">
      <c r="A20" s="61" t="s">
        <v>165</v>
      </c>
      <c r="B20" s="62"/>
      <c r="C20" s="34" t="s">
        <v>258</v>
      </c>
      <c r="D20" s="34" t="s">
        <v>258</v>
      </c>
      <c r="E20" s="34" t="s">
        <v>258</v>
      </c>
      <c r="F20" s="34" t="s">
        <v>258</v>
      </c>
      <c r="G20" s="34" t="s">
        <v>258</v>
      </c>
      <c r="H20" s="34" t="s">
        <v>258</v>
      </c>
      <c r="I20" s="34" t="s">
        <v>258</v>
      </c>
      <c r="J20" s="34" t="s">
        <v>258</v>
      </c>
      <c r="K20" s="69" t="s">
        <v>261</v>
      </c>
      <c r="L20" s="34" t="s">
        <v>258</v>
      </c>
      <c r="M20" s="34" t="s">
        <v>258</v>
      </c>
      <c r="N20" s="34" t="s">
        <v>258</v>
      </c>
      <c r="O20" s="34" t="s">
        <v>258</v>
      </c>
      <c r="P20" s="34" t="s">
        <v>262</v>
      </c>
    </row>
    <row r="21" spans="1:16" x14ac:dyDescent="0.35">
      <c r="A21" s="225" t="s">
        <v>167</v>
      </c>
      <c r="B21" s="63"/>
      <c r="C21" s="64">
        <f t="shared" ref="C21:P21" si="2">IFERROR(C18-C17,"")</f>
        <v>4945</v>
      </c>
      <c r="D21" s="64">
        <f t="shared" si="2"/>
        <v>4945</v>
      </c>
      <c r="E21" s="64">
        <f t="shared" si="2"/>
        <v>4945</v>
      </c>
      <c r="F21" s="64">
        <f t="shared" si="2"/>
        <v>4183</v>
      </c>
      <c r="G21" s="64">
        <f t="shared" si="2"/>
        <v>1949</v>
      </c>
      <c r="H21" s="64">
        <f t="shared" si="2"/>
        <v>1949</v>
      </c>
      <c r="I21" s="64">
        <f t="shared" si="2"/>
        <v>4183</v>
      </c>
      <c r="J21" s="64">
        <f t="shared" si="2"/>
        <v>4945</v>
      </c>
      <c r="K21" s="64">
        <f t="shared" si="2"/>
        <v>3937</v>
      </c>
      <c r="L21" s="64">
        <f t="shared" si="2"/>
        <v>4183</v>
      </c>
      <c r="M21" s="64">
        <f t="shared" si="2"/>
        <v>4363</v>
      </c>
      <c r="N21" s="64">
        <f t="shared" si="2"/>
        <v>4363</v>
      </c>
      <c r="O21" s="64">
        <f t="shared" si="2"/>
        <v>4363</v>
      </c>
      <c r="P21" s="64">
        <f t="shared" si="2"/>
        <v>2720</v>
      </c>
    </row>
    <row r="22" spans="1:16" s="68" customFormat="1" x14ac:dyDescent="0.35">
      <c r="A22" s="65" t="s">
        <v>2</v>
      </c>
      <c r="B22" s="66"/>
      <c r="C22" s="67">
        <f>AVERAGE(C14,C21)</f>
        <v>8552.5</v>
      </c>
      <c r="D22" s="67">
        <f t="shared" ref="D22:P22" si="3">AVERAGE(D14,D21)</f>
        <v>8552.5</v>
      </c>
      <c r="E22" s="67">
        <f t="shared" si="3"/>
        <v>8552.5</v>
      </c>
      <c r="F22" s="67">
        <f t="shared" si="3"/>
        <v>6080</v>
      </c>
      <c r="G22" s="67">
        <f t="shared" si="3"/>
        <v>8552.5</v>
      </c>
      <c r="H22" s="67">
        <f t="shared" si="3"/>
        <v>2472.5</v>
      </c>
      <c r="I22" s="67">
        <f t="shared" si="3"/>
        <v>6080</v>
      </c>
      <c r="J22" s="67">
        <f t="shared" si="3"/>
        <v>8552.5</v>
      </c>
      <c r="K22" s="67">
        <f t="shared" si="3"/>
        <v>5957</v>
      </c>
      <c r="L22" s="67">
        <f t="shared" si="3"/>
        <v>6080</v>
      </c>
      <c r="M22" s="67">
        <f t="shared" si="3"/>
        <v>6080</v>
      </c>
      <c r="N22" s="67">
        <f t="shared" si="3"/>
        <v>6080</v>
      </c>
      <c r="O22" s="67">
        <f t="shared" si="3"/>
        <v>6080</v>
      </c>
      <c r="P22" s="67">
        <f t="shared" si="3"/>
        <v>2992</v>
      </c>
    </row>
    <row r="23" spans="1:16" x14ac:dyDescent="0.35">
      <c r="A23" s="21" t="s">
        <v>159</v>
      </c>
      <c r="B23" s="22"/>
      <c r="C23" s="60">
        <v>43451</v>
      </c>
      <c r="D23" s="60">
        <v>43451</v>
      </c>
      <c r="E23" s="60">
        <v>43451</v>
      </c>
      <c r="F23" s="58">
        <v>43229</v>
      </c>
      <c r="G23" s="58">
        <v>43451</v>
      </c>
      <c r="H23" s="58">
        <v>43451</v>
      </c>
      <c r="I23" s="60">
        <v>43229</v>
      </c>
      <c r="J23" s="60">
        <v>43451</v>
      </c>
      <c r="K23" s="60">
        <v>43216</v>
      </c>
      <c r="L23" s="60">
        <v>43229</v>
      </c>
      <c r="M23" s="60">
        <v>43229</v>
      </c>
      <c r="N23" s="60">
        <v>43229</v>
      </c>
      <c r="O23" s="60">
        <v>43229</v>
      </c>
      <c r="P23" s="60">
        <v>42940</v>
      </c>
    </row>
    <row r="24" spans="1:16" x14ac:dyDescent="0.35">
      <c r="A24" s="26" t="s">
        <v>238</v>
      </c>
      <c r="B24" s="27" t="s">
        <v>162</v>
      </c>
      <c r="C24" s="59">
        <v>17105</v>
      </c>
      <c r="D24" s="59">
        <v>17105</v>
      </c>
      <c r="E24" s="59">
        <v>17105</v>
      </c>
      <c r="F24" s="29">
        <v>12160</v>
      </c>
      <c r="G24" s="29">
        <v>17105</v>
      </c>
      <c r="H24" s="29">
        <v>17105</v>
      </c>
      <c r="I24" s="59">
        <v>12160</v>
      </c>
      <c r="J24" s="29">
        <v>17105</v>
      </c>
      <c r="K24" s="29">
        <v>11914</v>
      </c>
      <c r="L24" s="29">
        <v>12160</v>
      </c>
      <c r="M24" s="59">
        <v>12160</v>
      </c>
      <c r="N24" s="59">
        <v>12160</v>
      </c>
      <c r="O24" s="59">
        <v>12160</v>
      </c>
      <c r="P24" s="29">
        <v>5984</v>
      </c>
    </row>
    <row r="25" spans="1:16" x14ac:dyDescent="0.35">
      <c r="A25" s="26" t="s">
        <v>238</v>
      </c>
      <c r="B25" s="27" t="s">
        <v>163</v>
      </c>
      <c r="C25" s="70">
        <v>24032.078125</v>
      </c>
      <c r="D25" s="70">
        <v>24032.078125</v>
      </c>
      <c r="E25" s="70">
        <v>24032.078125</v>
      </c>
      <c r="F25" s="29">
        <v>14839</v>
      </c>
      <c r="G25" s="29">
        <v>20420</v>
      </c>
      <c r="H25" s="29">
        <v>20420</v>
      </c>
      <c r="I25" s="29">
        <v>17105</v>
      </c>
      <c r="J25" s="29">
        <v>20420</v>
      </c>
      <c r="K25" s="29">
        <v>12160</v>
      </c>
      <c r="L25" s="29">
        <v>14839</v>
      </c>
      <c r="M25" s="29">
        <v>17105</v>
      </c>
      <c r="N25" s="29">
        <v>17105</v>
      </c>
      <c r="O25" s="29">
        <v>17105</v>
      </c>
      <c r="P25" s="29">
        <v>7797</v>
      </c>
    </row>
    <row r="26" spans="1:16" x14ac:dyDescent="0.35">
      <c r="A26" s="26" t="s">
        <v>164</v>
      </c>
      <c r="B26" s="27"/>
      <c r="C26" s="60">
        <v>43834</v>
      </c>
      <c r="D26" s="60">
        <v>43834</v>
      </c>
      <c r="E26" s="60">
        <v>43834</v>
      </c>
      <c r="F26" s="58">
        <v>43351</v>
      </c>
      <c r="G26" s="58">
        <v>43684</v>
      </c>
      <c r="H26" s="58">
        <v>43684</v>
      </c>
      <c r="I26" s="60">
        <v>43451</v>
      </c>
      <c r="J26" s="60">
        <v>43684</v>
      </c>
      <c r="K26" s="60">
        <v>43229</v>
      </c>
      <c r="L26" s="60">
        <v>43351</v>
      </c>
      <c r="M26" s="60">
        <v>43451</v>
      </c>
      <c r="N26" s="60">
        <v>43451</v>
      </c>
      <c r="O26" s="60">
        <v>43451</v>
      </c>
      <c r="P26" s="60">
        <v>43021</v>
      </c>
    </row>
    <row r="27" spans="1:16" ht="29" x14ac:dyDescent="0.35">
      <c r="A27" s="61" t="s">
        <v>165</v>
      </c>
      <c r="B27" s="62"/>
      <c r="C27" s="34" t="s">
        <v>258</v>
      </c>
      <c r="D27" s="34" t="s">
        <v>258</v>
      </c>
      <c r="E27" s="34" t="s">
        <v>258</v>
      </c>
      <c r="F27" s="34" t="s">
        <v>258</v>
      </c>
      <c r="G27" s="34" t="s">
        <v>258</v>
      </c>
      <c r="H27" s="34" t="s">
        <v>258</v>
      </c>
      <c r="I27" s="34" t="s">
        <v>258</v>
      </c>
      <c r="J27" s="34" t="s">
        <v>258</v>
      </c>
      <c r="K27" s="34" t="s">
        <v>258</v>
      </c>
      <c r="L27" s="34" t="s">
        <v>258</v>
      </c>
      <c r="M27" s="34" t="s">
        <v>258</v>
      </c>
      <c r="N27" s="34" t="s">
        <v>258</v>
      </c>
      <c r="O27" s="34" t="s">
        <v>258</v>
      </c>
      <c r="P27" s="34" t="s">
        <v>258</v>
      </c>
    </row>
    <row r="28" spans="1:16" x14ac:dyDescent="0.35">
      <c r="A28" s="225" t="s">
        <v>167</v>
      </c>
      <c r="B28" s="63"/>
      <c r="C28" s="64">
        <f t="shared" ref="C28:P28" si="4">IFERROR(C25-C24,"")</f>
        <v>6927.078125</v>
      </c>
      <c r="D28" s="64">
        <f t="shared" si="4"/>
        <v>6927.078125</v>
      </c>
      <c r="E28" s="64">
        <f t="shared" si="4"/>
        <v>6927.078125</v>
      </c>
      <c r="F28" s="64">
        <f t="shared" si="4"/>
        <v>2679</v>
      </c>
      <c r="G28" s="64">
        <f t="shared" si="4"/>
        <v>3315</v>
      </c>
      <c r="H28" s="64">
        <f t="shared" si="4"/>
        <v>3315</v>
      </c>
      <c r="I28" s="64">
        <f t="shared" si="4"/>
        <v>4945</v>
      </c>
      <c r="J28" s="64">
        <f t="shared" si="4"/>
        <v>3315</v>
      </c>
      <c r="K28" s="64">
        <f t="shared" si="4"/>
        <v>246</v>
      </c>
      <c r="L28" s="64">
        <f t="shared" si="4"/>
        <v>2679</v>
      </c>
      <c r="M28" s="64">
        <f t="shared" si="4"/>
        <v>4945</v>
      </c>
      <c r="N28" s="64">
        <f t="shared" si="4"/>
        <v>4945</v>
      </c>
      <c r="O28" s="64">
        <f t="shared" si="4"/>
        <v>4945</v>
      </c>
      <c r="P28" s="64">
        <f t="shared" si="4"/>
        <v>1813</v>
      </c>
    </row>
    <row r="29" spans="1:16" s="68" customFormat="1" x14ac:dyDescent="0.35">
      <c r="A29" s="65" t="s">
        <v>2</v>
      </c>
      <c r="B29" s="66"/>
      <c r="C29" s="71">
        <f>AVERAGE(C21,C28,C14)</f>
        <v>8010.692708333333</v>
      </c>
      <c r="D29" s="71">
        <f t="shared" ref="D29:P29" si="5">AVERAGE(D21,D28,D14)</f>
        <v>8010.692708333333</v>
      </c>
      <c r="E29" s="71">
        <f t="shared" si="5"/>
        <v>8010.692708333333</v>
      </c>
      <c r="F29" s="71">
        <f t="shared" si="5"/>
        <v>4946.333333333333</v>
      </c>
      <c r="G29" s="71">
        <f t="shared" si="5"/>
        <v>6806.666666666667</v>
      </c>
      <c r="H29" s="71">
        <f t="shared" si="5"/>
        <v>2753.3333333333335</v>
      </c>
      <c r="I29" s="71">
        <f t="shared" si="5"/>
        <v>5701.666666666667</v>
      </c>
      <c r="J29" s="71">
        <f t="shared" si="5"/>
        <v>6806.666666666667</v>
      </c>
      <c r="K29" s="71">
        <f t="shared" si="5"/>
        <v>4053.3333333333335</v>
      </c>
      <c r="L29" s="71">
        <f t="shared" si="5"/>
        <v>4946.333333333333</v>
      </c>
      <c r="M29" s="71">
        <f t="shared" si="5"/>
        <v>5701.666666666667</v>
      </c>
      <c r="N29" s="71">
        <f t="shared" si="5"/>
        <v>5701.666666666667</v>
      </c>
      <c r="O29" s="71">
        <f t="shared" si="5"/>
        <v>5701.666666666667</v>
      </c>
      <c r="P29" s="71">
        <f t="shared" si="5"/>
        <v>2599</v>
      </c>
    </row>
    <row r="30" spans="1:16" x14ac:dyDescent="0.35">
      <c r="A30" s="21" t="s">
        <v>159</v>
      </c>
      <c r="B30" s="22"/>
      <c r="C30" s="60">
        <v>43834</v>
      </c>
      <c r="D30" s="60"/>
      <c r="E30" s="72">
        <v>43834</v>
      </c>
      <c r="F30" s="58">
        <v>43351</v>
      </c>
      <c r="G30" s="58">
        <v>43684</v>
      </c>
      <c r="H30" s="58">
        <v>43684</v>
      </c>
      <c r="I30" s="60">
        <v>43451</v>
      </c>
      <c r="J30" s="60">
        <v>43684</v>
      </c>
      <c r="K30" s="60">
        <v>43229</v>
      </c>
      <c r="L30" s="60">
        <v>43351</v>
      </c>
      <c r="M30" s="60">
        <v>43451</v>
      </c>
      <c r="N30" s="60">
        <v>43451</v>
      </c>
      <c r="O30" s="60">
        <v>43451</v>
      </c>
      <c r="P30" s="60">
        <v>43021</v>
      </c>
    </row>
    <row r="31" spans="1:16" x14ac:dyDescent="0.35">
      <c r="A31" s="26" t="s">
        <v>238</v>
      </c>
      <c r="B31" s="27" t="s">
        <v>162</v>
      </c>
      <c r="C31" s="73">
        <v>24032.078125</v>
      </c>
      <c r="D31" s="29"/>
      <c r="E31" s="29">
        <v>24032.078125</v>
      </c>
      <c r="F31" s="29">
        <v>14839</v>
      </c>
      <c r="G31" s="29">
        <v>20420</v>
      </c>
      <c r="H31" s="29">
        <v>20420</v>
      </c>
      <c r="I31" s="29">
        <v>17105</v>
      </c>
      <c r="J31" s="59">
        <v>20420</v>
      </c>
      <c r="K31" s="29">
        <v>12160</v>
      </c>
      <c r="L31" s="29">
        <v>14839</v>
      </c>
      <c r="M31" s="29">
        <v>17105</v>
      </c>
      <c r="N31" s="29">
        <v>17105</v>
      </c>
      <c r="O31" s="29">
        <v>17105</v>
      </c>
      <c r="P31" s="29">
        <v>7797</v>
      </c>
    </row>
    <row r="32" spans="1:16" x14ac:dyDescent="0.35">
      <c r="A32" s="26" t="s">
        <v>238</v>
      </c>
      <c r="B32" s="27" t="s">
        <v>163</v>
      </c>
      <c r="C32" s="92">
        <v>26820</v>
      </c>
      <c r="D32" s="29"/>
      <c r="E32" s="59">
        <v>29850</v>
      </c>
      <c r="F32" s="74">
        <v>24032.078125</v>
      </c>
      <c r="G32" s="74">
        <v>24032.078125</v>
      </c>
      <c r="H32" s="70">
        <v>24032.078125</v>
      </c>
      <c r="I32" s="74">
        <v>24032.078125</v>
      </c>
      <c r="J32" s="74">
        <v>24032.078125</v>
      </c>
      <c r="K32" s="29">
        <v>14839</v>
      </c>
      <c r="L32" s="29">
        <v>17105</v>
      </c>
      <c r="M32" s="29">
        <v>20420</v>
      </c>
      <c r="N32" s="29">
        <v>20420</v>
      </c>
      <c r="O32" s="29">
        <v>20420</v>
      </c>
      <c r="P32" s="29">
        <v>10582</v>
      </c>
    </row>
    <row r="33" spans="1:16" x14ac:dyDescent="0.35">
      <c r="A33" s="26" t="s">
        <v>164</v>
      </c>
      <c r="B33" s="27"/>
      <c r="C33" s="60" t="s">
        <v>240</v>
      </c>
      <c r="D33" s="23"/>
      <c r="E33" s="58" t="s">
        <v>263</v>
      </c>
      <c r="F33" s="58">
        <v>43834</v>
      </c>
      <c r="G33" s="60">
        <v>43834</v>
      </c>
      <c r="H33" s="60">
        <v>43834</v>
      </c>
      <c r="I33" s="60">
        <v>43834</v>
      </c>
      <c r="J33" s="60">
        <v>43834</v>
      </c>
      <c r="K33" s="60">
        <v>43351</v>
      </c>
      <c r="L33" s="60">
        <v>43451</v>
      </c>
      <c r="M33" s="60">
        <v>43684</v>
      </c>
      <c r="N33" s="60">
        <v>43684</v>
      </c>
      <c r="O33" s="60">
        <v>43684</v>
      </c>
      <c r="P33" s="60">
        <v>43154</v>
      </c>
    </row>
    <row r="34" spans="1:16" ht="29" x14ac:dyDescent="0.35">
      <c r="A34" s="61" t="s">
        <v>165</v>
      </c>
      <c r="B34" s="62"/>
      <c r="C34" s="34" t="s">
        <v>264</v>
      </c>
      <c r="D34" s="34"/>
      <c r="E34" s="34" t="s">
        <v>264</v>
      </c>
      <c r="F34" s="34" t="s">
        <v>258</v>
      </c>
      <c r="G34" s="34" t="s">
        <v>258</v>
      </c>
      <c r="H34" s="34" t="s">
        <v>258</v>
      </c>
      <c r="I34" s="34" t="s">
        <v>258</v>
      </c>
      <c r="J34" s="34" t="s">
        <v>258</v>
      </c>
      <c r="K34" s="34" t="s">
        <v>258</v>
      </c>
      <c r="L34" s="34" t="s">
        <v>258</v>
      </c>
      <c r="M34" s="34" t="s">
        <v>258</v>
      </c>
      <c r="N34" s="34" t="s">
        <v>258</v>
      </c>
      <c r="O34" s="34" t="s">
        <v>258</v>
      </c>
      <c r="P34" s="34" t="s">
        <v>258</v>
      </c>
    </row>
    <row r="35" spans="1:16" x14ac:dyDescent="0.35">
      <c r="A35" s="225" t="s">
        <v>167</v>
      </c>
      <c r="B35" s="63"/>
      <c r="C35" s="64">
        <f t="shared" ref="C35:P35" si="6">IFERROR(C32-C31,"")</f>
        <v>2787.921875</v>
      </c>
      <c r="D35" s="64">
        <f t="shared" si="6"/>
        <v>0</v>
      </c>
      <c r="E35" s="64">
        <f t="shared" si="6"/>
        <v>5817.921875</v>
      </c>
      <c r="F35" s="64">
        <f t="shared" si="6"/>
        <v>9193.078125</v>
      </c>
      <c r="G35" s="64">
        <f t="shared" si="6"/>
        <v>3612.078125</v>
      </c>
      <c r="H35" s="64">
        <f t="shared" si="6"/>
        <v>3612.078125</v>
      </c>
      <c r="I35" s="64">
        <f t="shared" si="6"/>
        <v>6927.078125</v>
      </c>
      <c r="J35" s="64">
        <f t="shared" si="6"/>
        <v>3612.078125</v>
      </c>
      <c r="K35" s="64">
        <f t="shared" si="6"/>
        <v>2679</v>
      </c>
      <c r="L35" s="64">
        <f t="shared" si="6"/>
        <v>2266</v>
      </c>
      <c r="M35" s="64">
        <f t="shared" si="6"/>
        <v>3315</v>
      </c>
      <c r="N35" s="64">
        <f t="shared" si="6"/>
        <v>3315</v>
      </c>
      <c r="O35" s="64">
        <f t="shared" si="6"/>
        <v>3315</v>
      </c>
      <c r="P35" s="64">
        <f t="shared" si="6"/>
        <v>2785</v>
      </c>
    </row>
    <row r="36" spans="1:16" s="68" customFormat="1" x14ac:dyDescent="0.35">
      <c r="A36" s="65" t="s">
        <v>2</v>
      </c>
      <c r="B36" s="66"/>
      <c r="C36" s="71">
        <f>AVERAGE(C28,C35,C21,C14)</f>
        <v>6705</v>
      </c>
      <c r="D36" s="71">
        <f t="shared" ref="D36:P36" si="7">AVERAGE(D28,D35,D21,D14)</f>
        <v>6008.01953125</v>
      </c>
      <c r="E36" s="71">
        <f t="shared" si="7"/>
        <v>7462.5</v>
      </c>
      <c r="F36" s="71">
        <f t="shared" si="7"/>
        <v>6008.01953125</v>
      </c>
      <c r="G36" s="71">
        <f t="shared" si="7"/>
        <v>6008.01953125</v>
      </c>
      <c r="H36" s="71">
        <f t="shared" si="7"/>
        <v>2968.01953125</v>
      </c>
      <c r="I36" s="71">
        <f t="shared" si="7"/>
        <v>6008.01953125</v>
      </c>
      <c r="J36" s="71">
        <f t="shared" si="7"/>
        <v>6008.01953125</v>
      </c>
      <c r="K36" s="71">
        <f t="shared" si="7"/>
        <v>3709.75</v>
      </c>
      <c r="L36" s="71">
        <f t="shared" si="7"/>
        <v>4276.25</v>
      </c>
      <c r="M36" s="71">
        <f t="shared" si="7"/>
        <v>5105</v>
      </c>
      <c r="N36" s="71">
        <f t="shared" si="7"/>
        <v>5105</v>
      </c>
      <c r="O36" s="71">
        <f t="shared" si="7"/>
        <v>5105</v>
      </c>
      <c r="P36" s="71">
        <f t="shared" si="7"/>
        <v>2645.5</v>
      </c>
    </row>
    <row r="37" spans="1:16" x14ac:dyDescent="0.35">
      <c r="A37" s="21" t="s">
        <v>159</v>
      </c>
      <c r="B37" s="22"/>
      <c r="C37" s="60" t="s">
        <v>240</v>
      </c>
      <c r="D37" s="23"/>
      <c r="E37" s="29"/>
      <c r="F37" s="72">
        <v>43834</v>
      </c>
      <c r="G37" s="72"/>
      <c r="H37" s="29"/>
      <c r="I37" s="23">
        <v>43834</v>
      </c>
      <c r="J37" s="23">
        <v>43834</v>
      </c>
      <c r="K37" s="60">
        <v>43351</v>
      </c>
      <c r="L37" s="60">
        <v>43451</v>
      </c>
      <c r="M37" s="60">
        <v>43684</v>
      </c>
      <c r="N37" s="60">
        <v>43684</v>
      </c>
      <c r="O37" s="60">
        <v>43684</v>
      </c>
      <c r="P37" s="60">
        <v>43154</v>
      </c>
    </row>
    <row r="38" spans="1:16" x14ac:dyDescent="0.35">
      <c r="A38" s="26" t="s">
        <v>238</v>
      </c>
      <c r="B38" s="27" t="s">
        <v>162</v>
      </c>
      <c r="C38" s="73">
        <v>26820</v>
      </c>
      <c r="D38" s="29"/>
      <c r="E38" s="29"/>
      <c r="F38" s="29">
        <v>24032.078125</v>
      </c>
      <c r="G38" s="29"/>
      <c r="H38" s="29"/>
      <c r="I38" s="29">
        <v>24032.078125</v>
      </c>
      <c r="J38" s="29">
        <v>24032.078125</v>
      </c>
      <c r="K38" s="29">
        <v>14839</v>
      </c>
      <c r="L38" s="29">
        <v>17105</v>
      </c>
      <c r="M38" s="29">
        <v>20420</v>
      </c>
      <c r="N38" s="29">
        <v>20420</v>
      </c>
      <c r="O38" s="29">
        <v>20420</v>
      </c>
      <c r="P38" s="29">
        <v>10582</v>
      </c>
    </row>
    <row r="39" spans="1:16" x14ac:dyDescent="0.35">
      <c r="A39" s="26" t="s">
        <v>238</v>
      </c>
      <c r="B39" s="27" t="s">
        <v>163</v>
      </c>
      <c r="C39" s="92">
        <v>29850</v>
      </c>
      <c r="D39" s="29"/>
      <c r="E39" s="29"/>
      <c r="F39" s="29">
        <v>26820</v>
      </c>
      <c r="G39" s="29"/>
      <c r="H39" s="29"/>
      <c r="I39" s="29">
        <v>29850</v>
      </c>
      <c r="J39" s="29">
        <v>29850</v>
      </c>
      <c r="K39" s="29">
        <v>17105</v>
      </c>
      <c r="L39" s="29">
        <v>23843</v>
      </c>
      <c r="M39" s="73">
        <v>23839.140625</v>
      </c>
      <c r="N39" s="73">
        <v>23839.140625</v>
      </c>
      <c r="O39" s="73">
        <v>23839.140625</v>
      </c>
      <c r="P39" s="29">
        <v>12160</v>
      </c>
    </row>
    <row r="40" spans="1:16" x14ac:dyDescent="0.35">
      <c r="A40" s="26" t="s">
        <v>164</v>
      </c>
      <c r="B40" s="27"/>
      <c r="C40" s="60" t="s">
        <v>263</v>
      </c>
      <c r="D40" s="23"/>
      <c r="E40" s="29"/>
      <c r="F40" s="23" t="s">
        <v>240</v>
      </c>
      <c r="G40" s="60"/>
      <c r="H40" s="29"/>
      <c r="I40" s="29" t="s">
        <v>265</v>
      </c>
      <c r="J40" s="23" t="s">
        <v>265</v>
      </c>
      <c r="K40" s="60">
        <v>43451</v>
      </c>
      <c r="L40" s="60">
        <v>43834</v>
      </c>
      <c r="M40" s="60">
        <v>43834</v>
      </c>
      <c r="N40" s="60">
        <v>43834</v>
      </c>
      <c r="O40" s="60">
        <v>43834</v>
      </c>
      <c r="P40" s="60">
        <v>43229</v>
      </c>
    </row>
    <row r="41" spans="1:16" ht="29" x14ac:dyDescent="0.35">
      <c r="A41" s="61" t="s">
        <v>165</v>
      </c>
      <c r="B41" s="62"/>
      <c r="C41" s="34" t="s">
        <v>264</v>
      </c>
      <c r="D41" s="29"/>
      <c r="E41" s="29"/>
      <c r="F41" s="29" t="s">
        <v>264</v>
      </c>
      <c r="G41" s="34"/>
      <c r="H41" s="29"/>
      <c r="I41" s="29" t="s">
        <v>264</v>
      </c>
      <c r="J41" s="29" t="s">
        <v>264</v>
      </c>
      <c r="K41" s="34" t="s">
        <v>258</v>
      </c>
      <c r="L41" s="34" t="s">
        <v>258</v>
      </c>
      <c r="M41" s="34" t="s">
        <v>258</v>
      </c>
      <c r="N41" s="34" t="s">
        <v>258</v>
      </c>
      <c r="O41" s="34" t="s">
        <v>258</v>
      </c>
      <c r="P41" s="34" t="s">
        <v>258</v>
      </c>
    </row>
    <row r="42" spans="1:16" x14ac:dyDescent="0.35">
      <c r="A42" s="225" t="s">
        <v>167</v>
      </c>
      <c r="B42" s="63"/>
      <c r="C42" s="64">
        <f t="shared" ref="C42:P42" si="8">IFERROR(C39-C38,"")</f>
        <v>3030</v>
      </c>
      <c r="D42" s="64">
        <f t="shared" si="8"/>
        <v>0</v>
      </c>
      <c r="E42" s="64">
        <f t="shared" si="8"/>
        <v>0</v>
      </c>
      <c r="F42" s="64">
        <f t="shared" si="8"/>
        <v>2787.921875</v>
      </c>
      <c r="G42" s="64">
        <f t="shared" si="8"/>
        <v>0</v>
      </c>
      <c r="H42" s="64">
        <f t="shared" si="8"/>
        <v>0</v>
      </c>
      <c r="I42" s="64">
        <f t="shared" si="8"/>
        <v>5817.921875</v>
      </c>
      <c r="J42" s="64">
        <f t="shared" si="8"/>
        <v>5817.921875</v>
      </c>
      <c r="K42" s="64">
        <f t="shared" si="8"/>
        <v>2266</v>
      </c>
      <c r="L42" s="64">
        <f t="shared" si="8"/>
        <v>6738</v>
      </c>
      <c r="M42" s="64">
        <f t="shared" si="8"/>
        <v>3419.140625</v>
      </c>
      <c r="N42" s="64">
        <f t="shared" si="8"/>
        <v>3419.140625</v>
      </c>
      <c r="O42" s="64">
        <f t="shared" si="8"/>
        <v>3419.140625</v>
      </c>
      <c r="P42" s="64">
        <f t="shared" si="8"/>
        <v>1578</v>
      </c>
    </row>
    <row r="43" spans="1:16" s="68" customFormat="1" x14ac:dyDescent="0.35">
      <c r="A43" s="65" t="s">
        <v>2</v>
      </c>
      <c r="B43" s="66"/>
      <c r="C43" s="71">
        <f>AVERAGE(C35,C42,C28,C21,C14)</f>
        <v>5970</v>
      </c>
      <c r="D43" s="71">
        <f t="shared" ref="D43:P43" si="9">AVERAGE(D35,D42,D28,D21,D14)</f>
        <v>4806.4156249999996</v>
      </c>
      <c r="E43" s="71">
        <f t="shared" si="9"/>
        <v>5970</v>
      </c>
      <c r="F43" s="71">
        <f t="shared" si="9"/>
        <v>5364</v>
      </c>
      <c r="G43" s="71">
        <f t="shared" si="9"/>
        <v>4806.4156249999996</v>
      </c>
      <c r="H43" s="71">
        <f t="shared" si="9"/>
        <v>2374.4156250000001</v>
      </c>
      <c r="I43" s="71">
        <f t="shared" si="9"/>
        <v>5970</v>
      </c>
      <c r="J43" s="71">
        <f t="shared" si="9"/>
        <v>5970</v>
      </c>
      <c r="K43" s="71">
        <f t="shared" si="9"/>
        <v>3421</v>
      </c>
      <c r="L43" s="71">
        <f t="shared" si="9"/>
        <v>4768.6000000000004</v>
      </c>
      <c r="M43" s="71">
        <f t="shared" si="9"/>
        <v>4767.828125</v>
      </c>
      <c r="N43" s="71">
        <f t="shared" si="9"/>
        <v>4767.828125</v>
      </c>
      <c r="O43" s="71">
        <f t="shared" si="9"/>
        <v>4767.828125</v>
      </c>
      <c r="P43" s="71">
        <f t="shared" si="9"/>
        <v>2432</v>
      </c>
    </row>
    <row r="44" spans="1:16" x14ac:dyDescent="0.35">
      <c r="A44" s="21" t="s">
        <v>159</v>
      </c>
      <c r="B44" s="22"/>
      <c r="C44" s="60" t="s">
        <v>263</v>
      </c>
      <c r="D44" s="23"/>
      <c r="E44" s="29"/>
      <c r="F44" s="29" t="s">
        <v>240</v>
      </c>
      <c r="G44" s="58"/>
      <c r="H44" s="29"/>
      <c r="I44" s="29" t="s">
        <v>265</v>
      </c>
      <c r="J44" s="23"/>
      <c r="K44" s="60">
        <v>43451</v>
      </c>
      <c r="L44" s="60">
        <v>43834</v>
      </c>
      <c r="M44" s="60">
        <v>43834</v>
      </c>
      <c r="N44" s="23"/>
      <c r="O44" s="29"/>
      <c r="P44" s="60">
        <v>43229</v>
      </c>
    </row>
    <row r="45" spans="1:16" x14ac:dyDescent="0.35">
      <c r="A45" s="26" t="s">
        <v>238</v>
      </c>
      <c r="B45" s="27" t="s">
        <v>162</v>
      </c>
      <c r="C45" s="73">
        <v>29850</v>
      </c>
      <c r="D45" s="29"/>
      <c r="E45" s="29"/>
      <c r="F45" s="29">
        <v>26820</v>
      </c>
      <c r="G45" s="29"/>
      <c r="H45" s="29"/>
      <c r="I45" s="29">
        <v>29850</v>
      </c>
      <c r="J45" s="29"/>
      <c r="K45" s="29">
        <v>17105</v>
      </c>
      <c r="L45" s="29">
        <v>23843</v>
      </c>
      <c r="M45" s="73">
        <f t="shared" ref="M45" si="10">M39</f>
        <v>23839.140625</v>
      </c>
      <c r="N45" s="29"/>
      <c r="O45" s="29"/>
      <c r="P45" s="29">
        <v>12160</v>
      </c>
    </row>
    <row r="46" spans="1:16" x14ac:dyDescent="0.35">
      <c r="A46" s="26" t="s">
        <v>238</v>
      </c>
      <c r="B46" s="27" t="s">
        <v>163</v>
      </c>
      <c r="C46" s="92">
        <v>31387</v>
      </c>
      <c r="D46" s="29"/>
      <c r="E46" s="29"/>
      <c r="F46" s="29">
        <v>29850</v>
      </c>
      <c r="G46" s="29"/>
      <c r="H46" s="29"/>
      <c r="I46" s="29">
        <v>33309</v>
      </c>
      <c r="J46" s="29"/>
      <c r="K46" s="29">
        <v>20420</v>
      </c>
      <c r="L46" s="29">
        <v>24469</v>
      </c>
      <c r="M46" s="29">
        <v>26460</v>
      </c>
      <c r="N46" s="29"/>
      <c r="O46" s="29"/>
      <c r="P46" s="29">
        <v>14839</v>
      </c>
    </row>
    <row r="47" spans="1:16" x14ac:dyDescent="0.35">
      <c r="A47" s="26" t="s">
        <v>164</v>
      </c>
      <c r="B47" s="27"/>
      <c r="C47" s="60" t="s">
        <v>266</v>
      </c>
      <c r="D47" s="29"/>
      <c r="E47" s="29"/>
      <c r="F47" s="29" t="s">
        <v>263</v>
      </c>
      <c r="G47" s="58"/>
      <c r="H47" s="29"/>
      <c r="I47" s="29" t="s">
        <v>249</v>
      </c>
      <c r="J47" s="23"/>
      <c r="K47" s="60">
        <v>43684</v>
      </c>
      <c r="L47" s="58">
        <v>43865</v>
      </c>
      <c r="M47" s="23">
        <v>43950</v>
      </c>
      <c r="N47" s="29"/>
      <c r="O47" s="29"/>
      <c r="P47" s="60">
        <v>43351</v>
      </c>
    </row>
    <row r="48" spans="1:16" ht="29" x14ac:dyDescent="0.35">
      <c r="A48" s="61" t="s">
        <v>165</v>
      </c>
      <c r="B48" s="62"/>
      <c r="C48" s="34" t="s">
        <v>264</v>
      </c>
      <c r="D48" s="29"/>
      <c r="E48" s="29"/>
      <c r="F48" s="29" t="s">
        <v>264</v>
      </c>
      <c r="G48" s="34"/>
      <c r="H48" s="29"/>
      <c r="I48" s="29" t="s">
        <v>267</v>
      </c>
      <c r="J48" s="29"/>
      <c r="K48" s="34" t="s">
        <v>258</v>
      </c>
      <c r="L48" s="34" t="s">
        <v>268</v>
      </c>
      <c r="M48" s="34" t="s">
        <v>258</v>
      </c>
      <c r="N48" s="29"/>
      <c r="O48" s="29"/>
      <c r="P48" s="34" t="s">
        <v>258</v>
      </c>
    </row>
    <row r="49" spans="1:16" x14ac:dyDescent="0.35">
      <c r="A49" s="225" t="s">
        <v>167</v>
      </c>
      <c r="B49" s="63"/>
      <c r="C49" s="64">
        <f t="shared" ref="C49:P49" si="11">IFERROR(C46-C45,"")</f>
        <v>1537</v>
      </c>
      <c r="D49" s="64">
        <f t="shared" si="11"/>
        <v>0</v>
      </c>
      <c r="E49" s="64">
        <f t="shared" si="11"/>
        <v>0</v>
      </c>
      <c r="F49" s="64">
        <f t="shared" si="11"/>
        <v>3030</v>
      </c>
      <c r="G49" s="64">
        <f t="shared" si="11"/>
        <v>0</v>
      </c>
      <c r="H49" s="64">
        <f t="shared" si="11"/>
        <v>0</v>
      </c>
      <c r="I49" s="64">
        <f t="shared" si="11"/>
        <v>3459</v>
      </c>
      <c r="J49" s="64">
        <f t="shared" si="11"/>
        <v>0</v>
      </c>
      <c r="K49" s="64">
        <f t="shared" si="11"/>
        <v>3315</v>
      </c>
      <c r="L49" s="64">
        <f t="shared" si="11"/>
        <v>626</v>
      </c>
      <c r="M49" s="64">
        <f t="shared" si="11"/>
        <v>2620.859375</v>
      </c>
      <c r="N49" s="64">
        <f t="shared" si="11"/>
        <v>0</v>
      </c>
      <c r="O49" s="64">
        <f t="shared" si="11"/>
        <v>0</v>
      </c>
      <c r="P49" s="64">
        <f t="shared" si="11"/>
        <v>2679</v>
      </c>
    </row>
    <row r="50" spans="1:16" s="68" customFormat="1" x14ac:dyDescent="0.35">
      <c r="A50" s="65" t="s">
        <v>2</v>
      </c>
      <c r="B50" s="66"/>
      <c r="C50" s="71">
        <f>AVERAGE(C42,C49,C35,C28,C21,C14)</f>
        <v>5231.166666666667</v>
      </c>
      <c r="D50" s="71">
        <f t="shared" ref="D50:P50" si="12">AVERAGE(D42,D49,D35,D28,D21,D14)</f>
        <v>4005.3463541666665</v>
      </c>
      <c r="E50" s="71">
        <f t="shared" si="12"/>
        <v>4975</v>
      </c>
      <c r="F50" s="71">
        <f t="shared" si="12"/>
        <v>4975</v>
      </c>
      <c r="G50" s="71">
        <f t="shared" si="12"/>
        <v>4005.3463541666665</v>
      </c>
      <c r="H50" s="71">
        <f t="shared" si="12"/>
        <v>1978.6796875</v>
      </c>
      <c r="I50" s="71">
        <f t="shared" si="12"/>
        <v>5551.5</v>
      </c>
      <c r="J50" s="71">
        <f t="shared" si="12"/>
        <v>4975</v>
      </c>
      <c r="K50" s="71">
        <f t="shared" si="12"/>
        <v>3403.3333333333335</v>
      </c>
      <c r="L50" s="71">
        <f t="shared" si="12"/>
        <v>4078.1666666666665</v>
      </c>
      <c r="M50" s="71">
        <f t="shared" si="12"/>
        <v>4410</v>
      </c>
      <c r="N50" s="71">
        <f t="shared" si="12"/>
        <v>3973.1901041666665</v>
      </c>
      <c r="O50" s="71">
        <f t="shared" si="12"/>
        <v>3973.1901041666665</v>
      </c>
      <c r="P50" s="71">
        <f t="shared" si="12"/>
        <v>2473.1666666666665</v>
      </c>
    </row>
    <row r="51" spans="1:16" x14ac:dyDescent="0.35">
      <c r="A51" s="21" t="s">
        <v>159</v>
      </c>
      <c r="B51" s="22"/>
      <c r="C51" s="60" t="s">
        <v>266</v>
      </c>
      <c r="D51" s="23"/>
      <c r="E51" s="29"/>
      <c r="F51" s="29" t="s">
        <v>263</v>
      </c>
      <c r="G51" s="58"/>
      <c r="H51" s="29"/>
      <c r="I51" s="29" t="s">
        <v>249</v>
      </c>
      <c r="J51" s="23"/>
      <c r="K51" s="60">
        <v>43684</v>
      </c>
      <c r="L51" s="23">
        <v>43865</v>
      </c>
      <c r="M51" s="23">
        <v>43950</v>
      </c>
      <c r="N51" s="23"/>
      <c r="O51" s="29"/>
      <c r="P51" s="58">
        <v>43351</v>
      </c>
    </row>
    <row r="52" spans="1:16" x14ac:dyDescent="0.35">
      <c r="A52" s="26" t="s">
        <v>238</v>
      </c>
      <c r="B52" s="27" t="s">
        <v>162</v>
      </c>
      <c r="C52" s="73">
        <v>31387</v>
      </c>
      <c r="D52" s="29"/>
      <c r="E52" s="29"/>
      <c r="F52" s="29">
        <v>29850</v>
      </c>
      <c r="G52" s="29"/>
      <c r="H52" s="29"/>
      <c r="I52" s="29">
        <v>33309</v>
      </c>
      <c r="J52" s="29"/>
      <c r="K52" s="29">
        <v>20420</v>
      </c>
      <c r="L52" s="29">
        <v>24469</v>
      </c>
      <c r="M52" s="29">
        <v>26460</v>
      </c>
      <c r="N52" s="29"/>
      <c r="O52" s="29"/>
      <c r="P52" s="29">
        <v>14839</v>
      </c>
    </row>
    <row r="53" spans="1:16" x14ac:dyDescent="0.35">
      <c r="A53" s="26" t="s">
        <v>238</v>
      </c>
      <c r="B53" s="27" t="s">
        <v>163</v>
      </c>
      <c r="C53" s="92">
        <v>34086</v>
      </c>
      <c r="D53" s="29"/>
      <c r="E53" s="29"/>
      <c r="F53" s="29">
        <v>31387</v>
      </c>
      <c r="G53" s="74"/>
      <c r="H53" s="29"/>
      <c r="I53" s="29">
        <v>39040</v>
      </c>
      <c r="J53" s="29"/>
      <c r="K53" s="29">
        <v>23843</v>
      </c>
      <c r="L53" s="29">
        <v>26820</v>
      </c>
      <c r="M53" s="29">
        <v>28524</v>
      </c>
      <c r="N53" s="29"/>
      <c r="O53" s="29"/>
      <c r="P53" s="29">
        <v>17105</v>
      </c>
    </row>
    <row r="54" spans="1:16" x14ac:dyDescent="0.35">
      <c r="A54" s="26" t="s">
        <v>164</v>
      </c>
      <c r="B54" s="27"/>
      <c r="C54" s="60" t="s">
        <v>250</v>
      </c>
      <c r="D54" s="29"/>
      <c r="E54" s="29"/>
      <c r="F54" s="29" t="s">
        <v>266</v>
      </c>
      <c r="G54" s="60"/>
      <c r="H54" s="29"/>
      <c r="I54" s="29" t="s">
        <v>251</v>
      </c>
      <c r="J54" s="23"/>
      <c r="K54" s="60">
        <v>43834</v>
      </c>
      <c r="L54" s="23" t="s">
        <v>240</v>
      </c>
      <c r="M54" s="29" t="s">
        <v>269</v>
      </c>
      <c r="N54" s="29"/>
      <c r="O54" s="29"/>
      <c r="P54" s="58">
        <v>43451</v>
      </c>
    </row>
    <row r="55" spans="1:16" ht="29" x14ac:dyDescent="0.35">
      <c r="A55" s="61" t="s">
        <v>165</v>
      </c>
      <c r="B55" s="62"/>
      <c r="C55" s="34"/>
      <c r="D55" s="29"/>
      <c r="E55" s="29"/>
      <c r="F55" s="29" t="s">
        <v>264</v>
      </c>
      <c r="G55" s="34"/>
      <c r="H55" s="29"/>
      <c r="I55" s="29" t="s">
        <v>270</v>
      </c>
      <c r="J55" s="29"/>
      <c r="K55" s="34" t="s">
        <v>258</v>
      </c>
      <c r="L55" s="29" t="s">
        <v>264</v>
      </c>
      <c r="M55" s="29" t="s">
        <v>264</v>
      </c>
      <c r="N55" s="29"/>
      <c r="O55" s="29"/>
      <c r="P55" s="34" t="s">
        <v>258</v>
      </c>
    </row>
    <row r="56" spans="1:16" x14ac:dyDescent="0.35">
      <c r="A56" s="225" t="s">
        <v>167</v>
      </c>
      <c r="B56" s="63"/>
      <c r="C56" s="64">
        <f t="shared" ref="C56:P56" si="13">IFERROR(C53-C52,"")</f>
        <v>2699</v>
      </c>
      <c r="D56" s="64">
        <f t="shared" si="13"/>
        <v>0</v>
      </c>
      <c r="E56" s="64">
        <f t="shared" si="13"/>
        <v>0</v>
      </c>
      <c r="F56" s="64">
        <f t="shared" si="13"/>
        <v>1537</v>
      </c>
      <c r="G56" s="64">
        <f t="shared" si="13"/>
        <v>0</v>
      </c>
      <c r="H56" s="64">
        <f t="shared" si="13"/>
        <v>0</v>
      </c>
      <c r="I56" s="64">
        <f t="shared" si="13"/>
        <v>5731</v>
      </c>
      <c r="J56" s="64">
        <f t="shared" si="13"/>
        <v>0</v>
      </c>
      <c r="K56" s="64">
        <f t="shared" si="13"/>
        <v>3423</v>
      </c>
      <c r="L56" s="64">
        <f t="shared" si="13"/>
        <v>2351</v>
      </c>
      <c r="M56" s="64">
        <f t="shared" si="13"/>
        <v>2064</v>
      </c>
      <c r="N56" s="64">
        <f t="shared" si="13"/>
        <v>0</v>
      </c>
      <c r="O56" s="64">
        <f t="shared" si="13"/>
        <v>0</v>
      </c>
      <c r="P56" s="64">
        <f t="shared" si="13"/>
        <v>2266</v>
      </c>
    </row>
    <row r="57" spans="1:16" s="68" customFormat="1" x14ac:dyDescent="0.35">
      <c r="A57" s="65" t="s">
        <v>2</v>
      </c>
      <c r="B57" s="66"/>
      <c r="C57" s="71">
        <f>AVERAGE(C49,C56,C42,C35,C28,C21,C14)</f>
        <v>4869.4285714285716</v>
      </c>
      <c r="D57" s="71">
        <f t="shared" ref="D57:P57" si="14">AVERAGE(D49,D56,D42,D35,D28,D21,D14)</f>
        <v>3433.1540178571427</v>
      </c>
      <c r="E57" s="71">
        <f t="shared" si="14"/>
        <v>4264.2857142857147</v>
      </c>
      <c r="F57" s="71">
        <f t="shared" si="14"/>
        <v>4483.8571428571431</v>
      </c>
      <c r="G57" s="71">
        <f t="shared" si="14"/>
        <v>3433.1540178571427</v>
      </c>
      <c r="H57" s="71">
        <f t="shared" si="14"/>
        <v>1696.0111607142858</v>
      </c>
      <c r="I57" s="71">
        <f t="shared" si="14"/>
        <v>5577.1428571428569</v>
      </c>
      <c r="J57" s="71">
        <f t="shared" si="14"/>
        <v>4264.2857142857147</v>
      </c>
      <c r="K57" s="71">
        <f t="shared" si="14"/>
        <v>3406.1428571428573</v>
      </c>
      <c r="L57" s="71">
        <f t="shared" si="14"/>
        <v>3831.4285714285716</v>
      </c>
      <c r="M57" s="71">
        <f t="shared" si="14"/>
        <v>4074.8571428571427</v>
      </c>
      <c r="N57" s="71">
        <f t="shared" si="14"/>
        <v>3405.5915178571427</v>
      </c>
      <c r="O57" s="71">
        <f t="shared" si="14"/>
        <v>3405.5915178571427</v>
      </c>
      <c r="P57" s="71">
        <f t="shared" si="14"/>
        <v>2443.5714285714284</v>
      </c>
    </row>
    <row r="58" spans="1:16" x14ac:dyDescent="0.35">
      <c r="A58" s="21" t="s">
        <v>159</v>
      </c>
      <c r="B58" s="22"/>
      <c r="C58" s="60" t="s">
        <v>250</v>
      </c>
      <c r="D58" s="23"/>
      <c r="E58" s="29"/>
      <c r="F58" s="29" t="s">
        <v>266</v>
      </c>
      <c r="G58" s="29"/>
      <c r="H58" s="29"/>
      <c r="I58" s="29"/>
      <c r="J58" s="23"/>
      <c r="K58" s="23">
        <v>43834</v>
      </c>
      <c r="L58" s="29" t="s">
        <v>240</v>
      </c>
      <c r="M58" s="29" t="s">
        <v>269</v>
      </c>
      <c r="N58" s="23"/>
      <c r="O58" s="29"/>
      <c r="P58" s="58">
        <v>43451</v>
      </c>
    </row>
    <row r="59" spans="1:16" x14ac:dyDescent="0.35">
      <c r="A59" s="26" t="s">
        <v>238</v>
      </c>
      <c r="B59" s="27" t="s">
        <v>162</v>
      </c>
      <c r="C59" s="73">
        <v>34086</v>
      </c>
      <c r="D59" s="29"/>
      <c r="E59" s="29"/>
      <c r="F59" s="29">
        <v>31387</v>
      </c>
      <c r="G59" s="29"/>
      <c r="H59" s="29"/>
      <c r="I59" s="29"/>
      <c r="J59" s="29"/>
      <c r="K59" s="29">
        <v>23843</v>
      </c>
      <c r="L59" s="29">
        <v>26820</v>
      </c>
      <c r="M59" s="29">
        <v>28524</v>
      </c>
      <c r="N59" s="29"/>
      <c r="O59" s="29"/>
      <c r="P59" s="29">
        <v>17105</v>
      </c>
    </row>
    <row r="60" spans="1:16" x14ac:dyDescent="0.35">
      <c r="A60" s="26" t="s">
        <v>238</v>
      </c>
      <c r="B60" s="27" t="s">
        <v>163</v>
      </c>
      <c r="C60" s="92">
        <v>36341</v>
      </c>
      <c r="D60" s="29"/>
      <c r="E60" s="29"/>
      <c r="F60" s="29">
        <v>36341</v>
      </c>
      <c r="G60" s="29"/>
      <c r="H60" s="29"/>
      <c r="I60" s="29"/>
      <c r="J60" s="29"/>
      <c r="K60" s="29">
        <v>29850</v>
      </c>
      <c r="L60" s="29">
        <v>28524</v>
      </c>
      <c r="M60" s="29">
        <v>29850</v>
      </c>
      <c r="N60" s="29"/>
      <c r="O60" s="29"/>
      <c r="P60" s="29">
        <v>20420</v>
      </c>
    </row>
    <row r="61" spans="1:16" x14ac:dyDescent="0.35">
      <c r="A61" s="26" t="s">
        <v>164</v>
      </c>
      <c r="B61" s="27"/>
      <c r="C61" s="60" t="s">
        <v>271</v>
      </c>
      <c r="D61" s="29"/>
      <c r="E61" s="29"/>
      <c r="F61" s="29" t="s">
        <v>271</v>
      </c>
      <c r="G61" s="29"/>
      <c r="H61" s="29"/>
      <c r="I61" s="29"/>
      <c r="J61" s="23"/>
      <c r="K61" s="29" t="s">
        <v>265</v>
      </c>
      <c r="L61" s="29" t="s">
        <v>269</v>
      </c>
      <c r="M61" s="29" t="s">
        <v>263</v>
      </c>
      <c r="N61" s="29"/>
      <c r="O61" s="29"/>
      <c r="P61" s="58">
        <v>43684</v>
      </c>
    </row>
    <row r="62" spans="1:16" ht="29" x14ac:dyDescent="0.35">
      <c r="A62" s="61" t="s">
        <v>165</v>
      </c>
      <c r="B62" s="62"/>
      <c r="C62" s="34"/>
      <c r="D62" s="29"/>
      <c r="E62" s="29"/>
      <c r="F62" s="29"/>
      <c r="G62" s="29"/>
      <c r="H62" s="29"/>
      <c r="I62" s="29"/>
      <c r="J62" s="29"/>
      <c r="K62" s="29" t="s">
        <v>264</v>
      </c>
      <c r="L62" s="29" t="s">
        <v>264</v>
      </c>
      <c r="M62" s="29" t="s">
        <v>264</v>
      </c>
      <c r="N62" s="29"/>
      <c r="O62" s="29"/>
      <c r="P62" s="34" t="s">
        <v>258</v>
      </c>
    </row>
    <row r="63" spans="1:16" x14ac:dyDescent="0.35">
      <c r="A63" s="225" t="s">
        <v>167</v>
      </c>
      <c r="B63" s="63"/>
      <c r="C63" s="64">
        <f t="shared" ref="C63:P63" si="15">IFERROR(C60-C59,"")</f>
        <v>2255</v>
      </c>
      <c r="D63" s="64">
        <f t="shared" si="15"/>
        <v>0</v>
      </c>
      <c r="E63" s="64">
        <f t="shared" si="15"/>
        <v>0</v>
      </c>
      <c r="F63" s="64">
        <f t="shared" si="15"/>
        <v>4954</v>
      </c>
      <c r="G63" s="64">
        <f t="shared" si="15"/>
        <v>0</v>
      </c>
      <c r="H63" s="64">
        <f t="shared" si="15"/>
        <v>0</v>
      </c>
      <c r="I63" s="64">
        <f t="shared" si="15"/>
        <v>0</v>
      </c>
      <c r="J63" s="64">
        <f t="shared" si="15"/>
        <v>0</v>
      </c>
      <c r="K63" s="64">
        <f t="shared" si="15"/>
        <v>6007</v>
      </c>
      <c r="L63" s="64">
        <f t="shared" si="15"/>
        <v>1704</v>
      </c>
      <c r="M63" s="64">
        <f t="shared" si="15"/>
        <v>1326</v>
      </c>
      <c r="N63" s="64">
        <f t="shared" si="15"/>
        <v>0</v>
      </c>
      <c r="O63" s="64">
        <f t="shared" si="15"/>
        <v>0</v>
      </c>
      <c r="P63" s="64">
        <f t="shared" si="15"/>
        <v>3315</v>
      </c>
    </row>
    <row r="64" spans="1:16" s="68" customFormat="1" x14ac:dyDescent="0.35">
      <c r="A64" s="65" t="s">
        <v>2</v>
      </c>
      <c r="B64" s="66"/>
      <c r="C64" s="71">
        <f>AVERAGE(C56,C63,C49,C42,C35,C28,C21,C14)</f>
        <v>4542.625</v>
      </c>
      <c r="D64" s="71">
        <f t="shared" ref="D64:P64" si="16">AVERAGE(D56,D63,D49,D42,D35,D28,D21,D14)</f>
        <v>3004.009765625</v>
      </c>
      <c r="E64" s="71">
        <f t="shared" si="16"/>
        <v>3731.25</v>
      </c>
      <c r="F64" s="71">
        <f t="shared" si="16"/>
        <v>4542.625</v>
      </c>
      <c r="G64" s="71">
        <f t="shared" si="16"/>
        <v>3004.009765625</v>
      </c>
      <c r="H64" s="71">
        <f t="shared" si="16"/>
        <v>1484.009765625</v>
      </c>
      <c r="I64" s="71">
        <f t="shared" si="16"/>
        <v>4880</v>
      </c>
      <c r="J64" s="71">
        <f t="shared" si="16"/>
        <v>3731.25</v>
      </c>
      <c r="K64" s="71">
        <f t="shared" si="16"/>
        <v>3731.25</v>
      </c>
      <c r="L64" s="71">
        <f t="shared" si="16"/>
        <v>3565.5</v>
      </c>
      <c r="M64" s="71">
        <f t="shared" si="16"/>
        <v>3731.25</v>
      </c>
      <c r="N64" s="71">
        <f t="shared" si="16"/>
        <v>2979.892578125</v>
      </c>
      <c r="O64" s="71">
        <f t="shared" si="16"/>
        <v>2979.892578125</v>
      </c>
      <c r="P64" s="71">
        <f t="shared" si="16"/>
        <v>2552.5</v>
      </c>
    </row>
    <row r="65" spans="1:17" x14ac:dyDescent="0.35">
      <c r="A65" s="21" t="s">
        <v>159</v>
      </c>
      <c r="B65" s="22"/>
      <c r="C65" s="60" t="s">
        <v>271</v>
      </c>
      <c r="D65" s="23"/>
      <c r="E65" s="29"/>
      <c r="F65" s="29" t="s">
        <v>271</v>
      </c>
      <c r="G65" s="29"/>
      <c r="H65" s="29"/>
      <c r="I65" s="29"/>
      <c r="J65" s="23"/>
      <c r="K65" s="29" t="s">
        <v>265</v>
      </c>
      <c r="L65" s="29" t="s">
        <v>269</v>
      </c>
      <c r="M65" s="29" t="s">
        <v>263</v>
      </c>
      <c r="N65" s="23"/>
      <c r="O65" s="29"/>
      <c r="P65" s="58">
        <v>43684</v>
      </c>
    </row>
    <row r="66" spans="1:17" x14ac:dyDescent="0.35">
      <c r="A66" s="26" t="s">
        <v>238</v>
      </c>
      <c r="B66" s="27" t="s">
        <v>162</v>
      </c>
      <c r="C66" s="73">
        <v>36341</v>
      </c>
      <c r="D66" s="29"/>
      <c r="E66" s="29"/>
      <c r="F66" s="29">
        <v>36341</v>
      </c>
      <c r="G66" s="29"/>
      <c r="H66" s="29"/>
      <c r="I66" s="29"/>
      <c r="J66" s="29"/>
      <c r="K66" s="29">
        <v>29850</v>
      </c>
      <c r="L66" s="29">
        <v>28524</v>
      </c>
      <c r="M66" s="29">
        <v>29850</v>
      </c>
      <c r="N66" s="29"/>
      <c r="O66" s="29"/>
      <c r="P66" s="29">
        <v>20420</v>
      </c>
    </row>
    <row r="67" spans="1:17" x14ac:dyDescent="0.35">
      <c r="A67" s="26" t="s">
        <v>238</v>
      </c>
      <c r="B67" s="27" t="s">
        <v>163</v>
      </c>
      <c r="C67" s="92">
        <v>39040</v>
      </c>
      <c r="D67" s="29"/>
      <c r="E67" s="29"/>
      <c r="F67" s="29">
        <v>39040</v>
      </c>
      <c r="G67" s="29"/>
      <c r="H67" s="29"/>
      <c r="I67" s="29"/>
      <c r="J67" s="29"/>
      <c r="K67" s="29">
        <v>33309</v>
      </c>
      <c r="L67" s="29">
        <v>29850</v>
      </c>
      <c r="M67" s="29">
        <v>31387</v>
      </c>
      <c r="N67" s="29"/>
      <c r="O67" s="29"/>
      <c r="P67" s="74">
        <v>24032.078125</v>
      </c>
      <c r="Q67" s="127"/>
    </row>
    <row r="68" spans="1:17" x14ac:dyDescent="0.35">
      <c r="A68" s="26" t="s">
        <v>164</v>
      </c>
      <c r="B68" s="27"/>
      <c r="C68" s="60" t="s">
        <v>251</v>
      </c>
      <c r="D68" s="29"/>
      <c r="E68" s="29"/>
      <c r="F68" s="29" t="s">
        <v>251</v>
      </c>
      <c r="G68" s="29"/>
      <c r="H68" s="29"/>
      <c r="I68" s="29"/>
      <c r="J68" s="23"/>
      <c r="K68" s="29" t="s">
        <v>249</v>
      </c>
      <c r="L68" s="29" t="s">
        <v>263</v>
      </c>
      <c r="M68" s="29" t="s">
        <v>266</v>
      </c>
      <c r="N68" s="29"/>
      <c r="O68" s="29"/>
      <c r="P68" s="60">
        <v>43834</v>
      </c>
    </row>
    <row r="69" spans="1:17" ht="29" x14ac:dyDescent="0.35">
      <c r="A69" s="61" t="s">
        <v>165</v>
      </c>
      <c r="B69" s="62"/>
      <c r="C69" s="34" t="s">
        <v>270</v>
      </c>
      <c r="D69" s="29"/>
      <c r="E69" s="29"/>
      <c r="F69" s="29" t="s">
        <v>270</v>
      </c>
      <c r="G69" s="29"/>
      <c r="H69" s="29"/>
      <c r="I69" s="29"/>
      <c r="J69" s="29"/>
      <c r="K69" s="29" t="s">
        <v>267</v>
      </c>
      <c r="L69" s="29" t="s">
        <v>264</v>
      </c>
      <c r="M69" s="29" t="s">
        <v>264</v>
      </c>
      <c r="N69" s="29"/>
      <c r="O69" s="29"/>
      <c r="P69" s="34" t="s">
        <v>258</v>
      </c>
    </row>
    <row r="70" spans="1:17" x14ac:dyDescent="0.35">
      <c r="A70" s="225" t="s">
        <v>167</v>
      </c>
      <c r="B70" s="63"/>
      <c r="C70" s="64">
        <f t="shared" ref="C70:P70" si="17">IFERROR(C67-C66,"")</f>
        <v>2699</v>
      </c>
      <c r="D70" s="64">
        <f t="shared" si="17"/>
        <v>0</v>
      </c>
      <c r="E70" s="64">
        <f t="shared" si="17"/>
        <v>0</v>
      </c>
      <c r="F70" s="64">
        <f t="shared" si="17"/>
        <v>2699</v>
      </c>
      <c r="G70" s="64">
        <f t="shared" si="17"/>
        <v>0</v>
      </c>
      <c r="H70" s="64">
        <f t="shared" si="17"/>
        <v>0</v>
      </c>
      <c r="I70" s="64">
        <f t="shared" si="17"/>
        <v>0</v>
      </c>
      <c r="J70" s="64">
        <f t="shared" si="17"/>
        <v>0</v>
      </c>
      <c r="K70" s="64">
        <f t="shared" si="17"/>
        <v>3459</v>
      </c>
      <c r="L70" s="64">
        <f t="shared" si="17"/>
        <v>1326</v>
      </c>
      <c r="M70" s="64">
        <f t="shared" si="17"/>
        <v>1537</v>
      </c>
      <c r="N70" s="64">
        <f t="shared" si="17"/>
        <v>0</v>
      </c>
      <c r="O70" s="64">
        <f t="shared" si="17"/>
        <v>0</v>
      </c>
      <c r="P70" s="64">
        <f t="shared" si="17"/>
        <v>3612.078125</v>
      </c>
    </row>
    <row r="71" spans="1:17" s="68" customFormat="1" x14ac:dyDescent="0.35">
      <c r="A71" s="65" t="s">
        <v>2</v>
      </c>
      <c r="B71" s="66"/>
      <c r="C71" s="71">
        <f>AVERAGE(C63,C70,C56,C49,C42,C35,C28,C21,C14)</f>
        <v>4337.7777777777774</v>
      </c>
      <c r="D71" s="71">
        <f t="shared" ref="D71:P71" si="18">AVERAGE(D63,D70,D56,D49,D42,D35,D28,D21,D14)</f>
        <v>2670.2309027777778</v>
      </c>
      <c r="E71" s="71">
        <f t="shared" si="18"/>
        <v>3316.6666666666665</v>
      </c>
      <c r="F71" s="71">
        <f t="shared" si="18"/>
        <v>4337.7777777777774</v>
      </c>
      <c r="G71" s="71">
        <f t="shared" si="18"/>
        <v>2670.2309027777778</v>
      </c>
      <c r="H71" s="71">
        <f t="shared" si="18"/>
        <v>1319.1197916666667</v>
      </c>
      <c r="I71" s="71">
        <f t="shared" si="18"/>
        <v>4337.7777777777774</v>
      </c>
      <c r="J71" s="71">
        <f t="shared" si="18"/>
        <v>3316.6666666666665</v>
      </c>
      <c r="K71" s="71">
        <f t="shared" si="18"/>
        <v>3701</v>
      </c>
      <c r="L71" s="71">
        <f t="shared" si="18"/>
        <v>3316.6666666666665</v>
      </c>
      <c r="M71" s="71">
        <f t="shared" si="18"/>
        <v>3487.4444444444443</v>
      </c>
      <c r="N71" s="71">
        <f t="shared" si="18"/>
        <v>2648.7934027777778</v>
      </c>
      <c r="O71" s="71">
        <f t="shared" si="18"/>
        <v>2648.7934027777778</v>
      </c>
      <c r="P71" s="71">
        <f t="shared" si="18"/>
        <v>2670.2309027777778</v>
      </c>
    </row>
    <row r="72" spans="1:17" x14ac:dyDescent="0.35">
      <c r="A72" s="21" t="s">
        <v>159</v>
      </c>
      <c r="B72" s="22"/>
      <c r="C72" s="60"/>
      <c r="D72" s="23"/>
      <c r="E72" s="29"/>
      <c r="F72" s="29"/>
      <c r="G72" s="29"/>
      <c r="H72" s="29"/>
      <c r="I72" s="29"/>
      <c r="J72" s="23"/>
      <c r="K72" s="29" t="s">
        <v>249</v>
      </c>
      <c r="L72" s="29" t="s">
        <v>263</v>
      </c>
      <c r="M72" s="29" t="s">
        <v>266</v>
      </c>
      <c r="N72" s="23"/>
      <c r="O72" s="29"/>
      <c r="P72" s="60">
        <v>43834</v>
      </c>
    </row>
    <row r="73" spans="1:17" x14ac:dyDescent="0.35">
      <c r="A73" s="26" t="s">
        <v>238</v>
      </c>
      <c r="B73" s="27" t="s">
        <v>162</v>
      </c>
      <c r="C73" s="73"/>
      <c r="D73" s="29"/>
      <c r="E73" s="29"/>
      <c r="F73" s="29"/>
      <c r="G73" s="29"/>
      <c r="H73" s="29"/>
      <c r="I73" s="29"/>
      <c r="J73" s="29"/>
      <c r="K73" s="29">
        <v>33309</v>
      </c>
      <c r="L73" s="29">
        <v>29850</v>
      </c>
      <c r="M73" s="29">
        <v>31387</v>
      </c>
      <c r="N73" s="29"/>
      <c r="O73" s="29"/>
      <c r="P73" s="73">
        <f t="shared" ref="P73" si="19">P67</f>
        <v>24032.078125</v>
      </c>
    </row>
    <row r="74" spans="1:17" x14ac:dyDescent="0.35">
      <c r="A74" s="26" t="s">
        <v>238</v>
      </c>
      <c r="B74" s="27" t="s">
        <v>163</v>
      </c>
      <c r="C74" s="92"/>
      <c r="D74" s="29"/>
      <c r="E74" s="29"/>
      <c r="F74" s="29"/>
      <c r="G74" s="29"/>
      <c r="H74" s="29"/>
      <c r="I74" s="29"/>
      <c r="J74" s="29"/>
      <c r="K74" s="29">
        <v>39040</v>
      </c>
      <c r="L74" s="29">
        <v>31387</v>
      </c>
      <c r="M74" s="29">
        <v>32358</v>
      </c>
      <c r="N74" s="29"/>
      <c r="O74" s="29"/>
      <c r="P74" s="29">
        <v>26460</v>
      </c>
    </row>
    <row r="75" spans="1:17" x14ac:dyDescent="0.35">
      <c r="A75" s="26" t="s">
        <v>164</v>
      </c>
      <c r="B75" s="27"/>
      <c r="C75" s="60"/>
      <c r="D75" s="29"/>
      <c r="E75" s="29"/>
      <c r="F75" s="29"/>
      <c r="G75" s="29"/>
      <c r="H75" s="29"/>
      <c r="I75" s="29"/>
      <c r="J75" s="23"/>
      <c r="K75" s="29" t="s">
        <v>251</v>
      </c>
      <c r="L75" s="29" t="s">
        <v>266</v>
      </c>
      <c r="M75" s="29" t="s">
        <v>272</v>
      </c>
      <c r="N75" s="29"/>
      <c r="O75" s="29"/>
      <c r="P75" s="23">
        <v>43950</v>
      </c>
    </row>
    <row r="76" spans="1:17" ht="29" x14ac:dyDescent="0.35">
      <c r="A76" s="61" t="s">
        <v>165</v>
      </c>
      <c r="B76" s="62"/>
      <c r="C76" s="34"/>
      <c r="D76" s="29"/>
      <c r="E76" s="29"/>
      <c r="F76" s="29"/>
      <c r="G76" s="29"/>
      <c r="H76" s="29"/>
      <c r="I76" s="29"/>
      <c r="J76" s="29"/>
      <c r="K76" s="29" t="s">
        <v>270</v>
      </c>
      <c r="L76" s="29" t="s">
        <v>264</v>
      </c>
      <c r="M76" s="29" t="s">
        <v>273</v>
      </c>
      <c r="N76" s="29"/>
      <c r="O76" s="29"/>
      <c r="P76" s="34" t="s">
        <v>258</v>
      </c>
    </row>
    <row r="77" spans="1:17" x14ac:dyDescent="0.35">
      <c r="A77" s="225" t="s">
        <v>167</v>
      </c>
      <c r="B77" s="63"/>
      <c r="C77" s="64">
        <f t="shared" ref="C77:P77" si="20">IFERROR(C74-C73,"")</f>
        <v>0</v>
      </c>
      <c r="D77" s="64">
        <f t="shared" si="20"/>
        <v>0</v>
      </c>
      <c r="E77" s="64">
        <f t="shared" si="20"/>
        <v>0</v>
      </c>
      <c r="F77" s="64">
        <f t="shared" si="20"/>
        <v>0</v>
      </c>
      <c r="G77" s="64">
        <f t="shared" si="20"/>
        <v>0</v>
      </c>
      <c r="H77" s="64">
        <f t="shared" si="20"/>
        <v>0</v>
      </c>
      <c r="I77" s="64">
        <f t="shared" si="20"/>
        <v>0</v>
      </c>
      <c r="J77" s="64">
        <f t="shared" si="20"/>
        <v>0</v>
      </c>
      <c r="K77" s="64">
        <f t="shared" si="20"/>
        <v>5731</v>
      </c>
      <c r="L77" s="64">
        <f t="shared" si="20"/>
        <v>1537</v>
      </c>
      <c r="M77" s="64">
        <f t="shared" si="20"/>
        <v>971</v>
      </c>
      <c r="N77" s="64">
        <f t="shared" si="20"/>
        <v>0</v>
      </c>
      <c r="O77" s="64">
        <f t="shared" si="20"/>
        <v>0</v>
      </c>
      <c r="P77" s="64">
        <f t="shared" si="20"/>
        <v>2427.921875</v>
      </c>
    </row>
    <row r="78" spans="1:17" s="68" customFormat="1" x14ac:dyDescent="0.35">
      <c r="A78" s="65" t="s">
        <v>2</v>
      </c>
      <c r="B78" s="66"/>
      <c r="C78" s="71">
        <f>AVERAGE(C70,C77,C63,C56,C49,C42,C35,C28,C21,C14)</f>
        <v>3904</v>
      </c>
      <c r="D78" s="71">
        <f t="shared" ref="D78:P78" si="21">AVERAGE(D70,D77,D63,D56,D49,D42,D35,D28,D21,D14)</f>
        <v>2403.2078124999998</v>
      </c>
      <c r="E78" s="71">
        <f t="shared" si="21"/>
        <v>2985</v>
      </c>
      <c r="F78" s="71">
        <f t="shared" si="21"/>
        <v>3904</v>
      </c>
      <c r="G78" s="71">
        <f t="shared" si="21"/>
        <v>2403.2078124999998</v>
      </c>
      <c r="H78" s="71">
        <f t="shared" si="21"/>
        <v>1187.2078125</v>
      </c>
      <c r="I78" s="71">
        <f t="shared" si="21"/>
        <v>3904</v>
      </c>
      <c r="J78" s="71">
        <f t="shared" si="21"/>
        <v>2985</v>
      </c>
      <c r="K78" s="71">
        <f t="shared" si="21"/>
        <v>3904</v>
      </c>
      <c r="L78" s="71">
        <f t="shared" si="21"/>
        <v>3138.7</v>
      </c>
      <c r="M78" s="71">
        <f t="shared" si="21"/>
        <v>3235.8</v>
      </c>
      <c r="N78" s="71">
        <f t="shared" si="21"/>
        <v>2383.9140625</v>
      </c>
      <c r="O78" s="71">
        <f t="shared" si="21"/>
        <v>2383.9140625</v>
      </c>
      <c r="P78" s="71">
        <f t="shared" si="21"/>
        <v>2646</v>
      </c>
    </row>
    <row r="79" spans="1:17" x14ac:dyDescent="0.35">
      <c r="A79" s="21" t="s">
        <v>159</v>
      </c>
      <c r="B79" s="22"/>
      <c r="C79" s="60"/>
      <c r="D79" s="23"/>
      <c r="E79" s="29"/>
      <c r="F79" s="29"/>
      <c r="G79" s="29"/>
      <c r="H79" s="29"/>
      <c r="I79" s="29"/>
      <c r="J79" s="23"/>
      <c r="K79" s="29"/>
      <c r="L79" s="29" t="s">
        <v>266</v>
      </c>
      <c r="M79" s="29" t="s">
        <v>272</v>
      </c>
      <c r="N79" s="23"/>
      <c r="O79" s="29"/>
      <c r="P79" s="23">
        <v>43950</v>
      </c>
    </row>
    <row r="80" spans="1:17" x14ac:dyDescent="0.35">
      <c r="A80" s="26" t="s">
        <v>238</v>
      </c>
      <c r="B80" s="27" t="s">
        <v>162</v>
      </c>
      <c r="C80" s="73"/>
      <c r="D80" s="29"/>
      <c r="E80" s="29"/>
      <c r="F80" s="29"/>
      <c r="G80" s="29"/>
      <c r="H80" s="29"/>
      <c r="I80" s="29"/>
      <c r="J80" s="29"/>
      <c r="K80" s="29"/>
      <c r="L80" s="29">
        <v>31387</v>
      </c>
      <c r="M80" s="29">
        <v>32358</v>
      </c>
      <c r="N80" s="29"/>
      <c r="O80" s="29"/>
      <c r="P80" s="29">
        <v>26460</v>
      </c>
    </row>
    <row r="81" spans="1:16" x14ac:dyDescent="0.35">
      <c r="A81" s="26" t="s">
        <v>238</v>
      </c>
      <c r="B81" s="27" t="s">
        <v>163</v>
      </c>
      <c r="C81" s="92"/>
      <c r="D81" s="29"/>
      <c r="E81" s="29"/>
      <c r="F81" s="29"/>
      <c r="G81" s="29"/>
      <c r="H81" s="29"/>
      <c r="I81" s="29"/>
      <c r="J81" s="29"/>
      <c r="K81" s="29"/>
      <c r="L81" s="29">
        <v>33309</v>
      </c>
      <c r="M81" s="29">
        <v>35400</v>
      </c>
      <c r="N81" s="29"/>
      <c r="O81" s="29"/>
      <c r="P81" s="29">
        <v>28524</v>
      </c>
    </row>
    <row r="82" spans="1:16" x14ac:dyDescent="0.35">
      <c r="A82" s="26" t="s">
        <v>164</v>
      </c>
      <c r="B82" s="27"/>
      <c r="C82" s="60"/>
      <c r="D82" s="29"/>
      <c r="E82" s="29"/>
      <c r="F82" s="29"/>
      <c r="G82" s="29"/>
      <c r="H82" s="29"/>
      <c r="I82" s="29"/>
      <c r="J82" s="23"/>
      <c r="K82" s="29"/>
      <c r="L82" s="29" t="s">
        <v>249</v>
      </c>
      <c r="M82" s="29" t="s">
        <v>242</v>
      </c>
      <c r="N82" s="29"/>
      <c r="O82" s="29"/>
      <c r="P82" s="29" t="s">
        <v>269</v>
      </c>
    </row>
    <row r="83" spans="1:16" x14ac:dyDescent="0.35">
      <c r="A83" s="61" t="s">
        <v>165</v>
      </c>
      <c r="B83" s="62"/>
      <c r="C83" s="34"/>
      <c r="D83" s="29"/>
      <c r="E83" s="29"/>
      <c r="F83" s="29"/>
      <c r="G83" s="29"/>
      <c r="H83" s="29"/>
      <c r="I83" s="29"/>
      <c r="J83" s="29"/>
      <c r="K83" s="29"/>
      <c r="L83" s="29" t="s">
        <v>274</v>
      </c>
      <c r="M83" s="29"/>
      <c r="N83" s="29"/>
      <c r="O83" s="29"/>
      <c r="P83" s="29" t="s">
        <v>264</v>
      </c>
    </row>
    <row r="84" spans="1:16" x14ac:dyDescent="0.35">
      <c r="A84" s="225" t="s">
        <v>167</v>
      </c>
      <c r="B84" s="63"/>
      <c r="C84" s="64">
        <f t="shared" ref="C84:P84" si="22">IFERROR(C81-C80,"")</f>
        <v>0</v>
      </c>
      <c r="D84" s="64">
        <f t="shared" si="22"/>
        <v>0</v>
      </c>
      <c r="E84" s="64">
        <f t="shared" si="22"/>
        <v>0</v>
      </c>
      <c r="F84" s="64">
        <f t="shared" si="22"/>
        <v>0</v>
      </c>
      <c r="G84" s="64">
        <f t="shared" si="22"/>
        <v>0</v>
      </c>
      <c r="H84" s="64">
        <f t="shared" si="22"/>
        <v>0</v>
      </c>
      <c r="I84" s="64">
        <f t="shared" si="22"/>
        <v>0</v>
      </c>
      <c r="J84" s="64">
        <f t="shared" si="22"/>
        <v>0</v>
      </c>
      <c r="K84" s="64">
        <f t="shared" si="22"/>
        <v>0</v>
      </c>
      <c r="L84" s="64">
        <f t="shared" si="22"/>
        <v>1922</v>
      </c>
      <c r="M84" s="64">
        <f t="shared" si="22"/>
        <v>3042</v>
      </c>
      <c r="N84" s="64">
        <f t="shared" si="22"/>
        <v>0</v>
      </c>
      <c r="O84" s="64">
        <f t="shared" si="22"/>
        <v>0</v>
      </c>
      <c r="P84" s="64">
        <f t="shared" si="22"/>
        <v>2064</v>
      </c>
    </row>
    <row r="85" spans="1:16" s="68" customFormat="1" x14ac:dyDescent="0.35">
      <c r="A85" s="65" t="s">
        <v>2</v>
      </c>
      <c r="B85" s="66"/>
      <c r="C85" s="71">
        <f>AVERAGE(C77,C84,C70,C63,C56,C49,C42,C35,C28,C21,C14)</f>
        <v>3549.090909090909</v>
      </c>
      <c r="D85" s="71">
        <f t="shared" ref="D85:P85" si="23">AVERAGE(D77,D84,D70,D63,D56,D49,D42,D35,D28,D21,D14)</f>
        <v>2184.734375</v>
      </c>
      <c r="E85" s="71">
        <f t="shared" si="23"/>
        <v>2713.6363636363635</v>
      </c>
      <c r="F85" s="71">
        <f t="shared" si="23"/>
        <v>3549.090909090909</v>
      </c>
      <c r="G85" s="71">
        <f t="shared" si="23"/>
        <v>2184.734375</v>
      </c>
      <c r="H85" s="71">
        <f t="shared" si="23"/>
        <v>1079.2798295454545</v>
      </c>
      <c r="I85" s="71">
        <f t="shared" si="23"/>
        <v>3549.090909090909</v>
      </c>
      <c r="J85" s="71">
        <f t="shared" si="23"/>
        <v>2713.6363636363635</v>
      </c>
      <c r="K85" s="71">
        <f t="shared" si="23"/>
        <v>3549.090909090909</v>
      </c>
      <c r="L85" s="71">
        <f t="shared" si="23"/>
        <v>3028.090909090909</v>
      </c>
      <c r="M85" s="71">
        <f t="shared" si="23"/>
        <v>3218.181818181818</v>
      </c>
      <c r="N85" s="71">
        <f t="shared" si="23"/>
        <v>2167.1946022727275</v>
      </c>
      <c r="O85" s="71">
        <f t="shared" si="23"/>
        <v>2167.1946022727275</v>
      </c>
      <c r="P85" s="71">
        <f t="shared" si="23"/>
        <v>2593.090909090909</v>
      </c>
    </row>
    <row r="86" spans="1:16" x14ac:dyDescent="0.35">
      <c r="A86" s="21" t="s">
        <v>159</v>
      </c>
      <c r="B86" s="22"/>
      <c r="C86" s="60"/>
      <c r="D86" s="23"/>
      <c r="E86" s="29"/>
      <c r="F86" s="29"/>
      <c r="G86" s="29"/>
      <c r="H86" s="29"/>
      <c r="I86" s="29"/>
      <c r="J86" s="23"/>
      <c r="K86" s="29"/>
      <c r="L86" s="29" t="s">
        <v>249</v>
      </c>
      <c r="M86" s="29" t="s">
        <v>242</v>
      </c>
      <c r="N86" s="23"/>
      <c r="O86" s="29"/>
      <c r="P86" s="29" t="s">
        <v>269</v>
      </c>
    </row>
    <row r="87" spans="1:16" x14ac:dyDescent="0.35">
      <c r="A87" s="26" t="s">
        <v>238</v>
      </c>
      <c r="B87" s="27" t="s">
        <v>162</v>
      </c>
      <c r="C87" s="73"/>
      <c r="D87" s="29"/>
      <c r="E87" s="29"/>
      <c r="F87" s="29"/>
      <c r="G87" s="29"/>
      <c r="H87" s="29"/>
      <c r="I87" s="29"/>
      <c r="J87" s="29"/>
      <c r="K87" s="29"/>
      <c r="L87" s="29">
        <v>33309</v>
      </c>
      <c r="M87" s="29">
        <v>35400</v>
      </c>
      <c r="N87" s="29"/>
      <c r="O87" s="29"/>
      <c r="P87" s="29">
        <v>28524</v>
      </c>
    </row>
    <row r="88" spans="1:16" x14ac:dyDescent="0.35">
      <c r="A88" s="26" t="s">
        <v>238</v>
      </c>
      <c r="B88" s="27" t="s">
        <v>163</v>
      </c>
      <c r="C88" s="92"/>
      <c r="D88" s="29"/>
      <c r="E88" s="29"/>
      <c r="F88" s="29"/>
      <c r="G88" s="29"/>
      <c r="H88" s="29"/>
      <c r="I88" s="29"/>
      <c r="J88" s="29"/>
      <c r="K88" s="29"/>
      <c r="L88" s="29">
        <v>34086</v>
      </c>
      <c r="M88" s="29">
        <v>36341</v>
      </c>
      <c r="N88" s="29"/>
      <c r="O88" s="29"/>
      <c r="P88" s="29">
        <v>29850</v>
      </c>
    </row>
    <row r="89" spans="1:16" x14ac:dyDescent="0.35">
      <c r="A89" s="26" t="s">
        <v>164</v>
      </c>
      <c r="B89" s="27"/>
      <c r="C89" s="60"/>
      <c r="D89" s="29"/>
      <c r="E89" s="29"/>
      <c r="F89" s="29"/>
      <c r="G89" s="29"/>
      <c r="H89" s="29"/>
      <c r="I89" s="29"/>
      <c r="J89" s="23"/>
      <c r="K89" s="29"/>
      <c r="L89" s="29" t="s">
        <v>250</v>
      </c>
      <c r="M89" s="29" t="s">
        <v>271</v>
      </c>
      <c r="N89" s="29"/>
      <c r="O89" s="29"/>
      <c r="P89" s="29" t="s">
        <v>263</v>
      </c>
    </row>
    <row r="90" spans="1:16" x14ac:dyDescent="0.35">
      <c r="A90" s="61" t="s">
        <v>165</v>
      </c>
      <c r="B90" s="62"/>
      <c r="C90" s="34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 t="s">
        <v>264</v>
      </c>
    </row>
    <row r="91" spans="1:16" x14ac:dyDescent="0.35">
      <c r="A91" s="225" t="s">
        <v>167</v>
      </c>
      <c r="B91" s="63"/>
      <c r="C91" s="64">
        <f t="shared" ref="C91:P91" si="24">IFERROR(C88-C87,"")</f>
        <v>0</v>
      </c>
      <c r="D91" s="64">
        <f t="shared" si="24"/>
        <v>0</v>
      </c>
      <c r="E91" s="64">
        <f t="shared" si="24"/>
        <v>0</v>
      </c>
      <c r="F91" s="64">
        <f t="shared" si="24"/>
        <v>0</v>
      </c>
      <c r="G91" s="64">
        <f t="shared" si="24"/>
        <v>0</v>
      </c>
      <c r="H91" s="64">
        <f t="shared" si="24"/>
        <v>0</v>
      </c>
      <c r="I91" s="64">
        <f t="shared" si="24"/>
        <v>0</v>
      </c>
      <c r="J91" s="64">
        <f t="shared" si="24"/>
        <v>0</v>
      </c>
      <c r="K91" s="64">
        <f t="shared" si="24"/>
        <v>0</v>
      </c>
      <c r="L91" s="64">
        <f t="shared" si="24"/>
        <v>777</v>
      </c>
      <c r="M91" s="64">
        <f t="shared" si="24"/>
        <v>941</v>
      </c>
      <c r="N91" s="64">
        <f t="shared" si="24"/>
        <v>0</v>
      </c>
      <c r="O91" s="64">
        <f t="shared" si="24"/>
        <v>0</v>
      </c>
      <c r="P91" s="64">
        <f t="shared" si="24"/>
        <v>1326</v>
      </c>
    </row>
    <row r="92" spans="1:16" s="68" customFormat="1" x14ac:dyDescent="0.35">
      <c r="A92" s="65" t="s">
        <v>2</v>
      </c>
      <c r="B92" s="66"/>
      <c r="C92" s="71">
        <f>AVERAGE(C84,C91,C77,C70,C63,C56,C49,C42,C35,C28,C14)</f>
        <v>3099.5454545454545</v>
      </c>
      <c r="D92" s="71">
        <f t="shared" ref="D92:P92" si="25">AVERAGE(D84,D91,D77,D70,D63,D56,D49,D42,D35,D28,D14)</f>
        <v>1735.1889204545455</v>
      </c>
      <c r="E92" s="71">
        <f t="shared" si="25"/>
        <v>2264.090909090909</v>
      </c>
      <c r="F92" s="71">
        <f t="shared" si="25"/>
        <v>3168.818181818182</v>
      </c>
      <c r="G92" s="71">
        <f t="shared" si="25"/>
        <v>2007.5525568181818</v>
      </c>
      <c r="H92" s="71">
        <f t="shared" si="25"/>
        <v>902.09801136363637</v>
      </c>
      <c r="I92" s="71">
        <f t="shared" si="25"/>
        <v>3168.818181818182</v>
      </c>
      <c r="J92" s="71">
        <f t="shared" si="25"/>
        <v>2264.090909090909</v>
      </c>
      <c r="K92" s="71">
        <f t="shared" si="25"/>
        <v>3191.181818181818</v>
      </c>
      <c r="L92" s="71">
        <f t="shared" si="25"/>
        <v>2718.4545454545455</v>
      </c>
      <c r="M92" s="71">
        <f t="shared" si="25"/>
        <v>2907.090909090909</v>
      </c>
      <c r="N92" s="71">
        <f t="shared" si="25"/>
        <v>1770.5582386363637</v>
      </c>
      <c r="O92" s="71">
        <f t="shared" si="25"/>
        <v>1770.5582386363637</v>
      </c>
      <c r="P92" s="71">
        <f t="shared" si="25"/>
        <v>2466.3636363636365</v>
      </c>
    </row>
    <row r="93" spans="1:16" x14ac:dyDescent="0.35">
      <c r="A93" s="21" t="s">
        <v>159</v>
      </c>
      <c r="B93" s="22"/>
      <c r="C93" s="60"/>
      <c r="D93" s="23"/>
      <c r="E93" s="29"/>
      <c r="F93" s="29"/>
      <c r="G93" s="29"/>
      <c r="H93" s="29"/>
      <c r="I93" s="29"/>
      <c r="J93" s="23"/>
      <c r="K93" s="29"/>
      <c r="L93" s="29" t="s">
        <v>250</v>
      </c>
      <c r="M93" s="29" t="s">
        <v>271</v>
      </c>
      <c r="N93" s="23"/>
      <c r="O93" s="29"/>
      <c r="P93" s="29" t="s">
        <v>263</v>
      </c>
    </row>
    <row r="94" spans="1:16" x14ac:dyDescent="0.35">
      <c r="A94" s="26" t="s">
        <v>238</v>
      </c>
      <c r="B94" s="27" t="s">
        <v>162</v>
      </c>
      <c r="C94" s="73"/>
      <c r="D94" s="29"/>
      <c r="E94" s="29"/>
      <c r="F94" s="29"/>
      <c r="G94" s="29"/>
      <c r="H94" s="29"/>
      <c r="I94" s="29"/>
      <c r="J94" s="29"/>
      <c r="K94" s="29"/>
      <c r="L94" s="29">
        <v>34086</v>
      </c>
      <c r="M94" s="29">
        <v>36341</v>
      </c>
      <c r="N94" s="29"/>
      <c r="O94" s="29"/>
      <c r="P94" s="29">
        <v>29850</v>
      </c>
    </row>
    <row r="95" spans="1:16" x14ac:dyDescent="0.35">
      <c r="A95" s="26" t="s">
        <v>238</v>
      </c>
      <c r="B95" s="27" t="s">
        <v>163</v>
      </c>
      <c r="C95" s="92"/>
      <c r="D95" s="29"/>
      <c r="E95" s="29"/>
      <c r="F95" s="29"/>
      <c r="G95" s="29"/>
      <c r="H95" s="29"/>
      <c r="I95" s="29"/>
      <c r="J95" s="29"/>
      <c r="K95" s="29"/>
      <c r="L95" s="29">
        <v>36341</v>
      </c>
      <c r="M95" s="29">
        <v>39040</v>
      </c>
      <c r="N95" s="29"/>
      <c r="O95" s="29"/>
      <c r="P95" s="29">
        <v>31387</v>
      </c>
    </row>
    <row r="96" spans="1:16" x14ac:dyDescent="0.35">
      <c r="A96" s="26" t="s">
        <v>164</v>
      </c>
      <c r="B96" s="27"/>
      <c r="C96" s="60"/>
      <c r="D96" s="29"/>
      <c r="E96" s="29"/>
      <c r="F96" s="29"/>
      <c r="G96" s="29"/>
      <c r="H96" s="29"/>
      <c r="I96" s="29"/>
      <c r="J96" s="23"/>
      <c r="K96" s="29"/>
      <c r="L96" s="29" t="s">
        <v>271</v>
      </c>
      <c r="M96" s="29" t="s">
        <v>251</v>
      </c>
      <c r="N96" s="29"/>
      <c r="O96" s="29"/>
      <c r="P96" s="29" t="s">
        <v>266</v>
      </c>
    </row>
    <row r="97" spans="1:16" x14ac:dyDescent="0.35">
      <c r="A97" s="61" t="s">
        <v>165</v>
      </c>
      <c r="B97" s="62"/>
      <c r="C97" s="34"/>
      <c r="D97" s="29"/>
      <c r="E97" s="29"/>
      <c r="F97" s="29"/>
      <c r="G97" s="29"/>
      <c r="H97" s="29"/>
      <c r="I97" s="29"/>
      <c r="J97" s="29"/>
      <c r="K97" s="29"/>
      <c r="L97" s="29"/>
      <c r="M97" s="29" t="s">
        <v>270</v>
      </c>
      <c r="N97" s="29"/>
      <c r="O97" s="29"/>
      <c r="P97" s="29"/>
    </row>
    <row r="98" spans="1:16" x14ac:dyDescent="0.35">
      <c r="A98" s="225" t="s">
        <v>167</v>
      </c>
      <c r="B98" s="63"/>
      <c r="C98" s="64">
        <f t="shared" ref="C98:P98" si="26">IFERROR(C95-C94,"")</f>
        <v>0</v>
      </c>
      <c r="D98" s="64">
        <f t="shared" si="26"/>
        <v>0</v>
      </c>
      <c r="E98" s="64">
        <f t="shared" si="26"/>
        <v>0</v>
      </c>
      <c r="F98" s="64">
        <f t="shared" si="26"/>
        <v>0</v>
      </c>
      <c r="G98" s="64">
        <f t="shared" si="26"/>
        <v>0</v>
      </c>
      <c r="H98" s="64">
        <f t="shared" si="26"/>
        <v>0</v>
      </c>
      <c r="I98" s="64">
        <f t="shared" si="26"/>
        <v>0</v>
      </c>
      <c r="J98" s="64">
        <f t="shared" si="26"/>
        <v>0</v>
      </c>
      <c r="K98" s="64">
        <f t="shared" si="26"/>
        <v>0</v>
      </c>
      <c r="L98" s="64">
        <f t="shared" si="26"/>
        <v>2255</v>
      </c>
      <c r="M98" s="64">
        <f t="shared" si="26"/>
        <v>2699</v>
      </c>
      <c r="N98" s="64">
        <f t="shared" si="26"/>
        <v>0</v>
      </c>
      <c r="O98" s="64">
        <f t="shared" si="26"/>
        <v>0</v>
      </c>
      <c r="P98" s="64">
        <f t="shared" si="26"/>
        <v>1537</v>
      </c>
    </row>
    <row r="99" spans="1:16" x14ac:dyDescent="0.35">
      <c r="A99" s="65" t="s">
        <v>2</v>
      </c>
      <c r="B99" s="66"/>
      <c r="C99" s="71">
        <f>AVERAGE(C91,C98,C84,C77,C70,C63,C56,C49,C42,C35,C21,C14)</f>
        <v>2676.0768229166665</v>
      </c>
      <c r="D99" s="71">
        <f t="shared" ref="D99:N99" si="27">AVERAGE(D91,D98,D84,D77,D70,D63,D56,D49,D42,D35,D21,D14)</f>
        <v>1425.4166666666667</v>
      </c>
      <c r="E99" s="71">
        <f t="shared" si="27"/>
        <v>1910.2434895833333</v>
      </c>
      <c r="F99" s="71">
        <f t="shared" si="27"/>
        <v>3030.0833333333335</v>
      </c>
      <c r="G99" s="71">
        <f t="shared" si="27"/>
        <v>1726.4231770833333</v>
      </c>
      <c r="H99" s="71">
        <f t="shared" si="27"/>
        <v>713.08984375</v>
      </c>
      <c r="I99" s="71">
        <f t="shared" si="27"/>
        <v>2841.25</v>
      </c>
      <c r="J99" s="71">
        <f t="shared" si="27"/>
        <v>2211.25</v>
      </c>
      <c r="K99" s="71">
        <f t="shared" si="27"/>
        <v>3232.8333333333335</v>
      </c>
      <c r="L99" s="71">
        <f t="shared" si="27"/>
        <v>2805.1666666666665</v>
      </c>
      <c r="M99" s="71">
        <f t="shared" si="27"/>
        <v>2841.25</v>
      </c>
      <c r="N99" s="71">
        <f t="shared" si="27"/>
        <v>1574.51171875</v>
      </c>
      <c r="O99" s="71">
        <f t="shared" ref="O99:P99" si="28">AVERAGE(O91,O98,O84,O77,O70,O63,O56,O49,O42,O35,O21)</f>
        <v>1008.8309659090909</v>
      </c>
      <c r="P99" s="71">
        <f t="shared" si="28"/>
        <v>2391.818181818182</v>
      </c>
    </row>
    <row r="100" spans="1:16" x14ac:dyDescent="0.35">
      <c r="A100" s="21" t="s">
        <v>159</v>
      </c>
      <c r="B100" s="22"/>
      <c r="C100" s="60"/>
      <c r="D100" s="23"/>
      <c r="E100" s="29"/>
      <c r="F100" s="29"/>
      <c r="G100" s="29"/>
      <c r="H100" s="29"/>
      <c r="I100" s="29"/>
      <c r="J100" s="23"/>
      <c r="K100" s="29"/>
      <c r="L100" s="29" t="s">
        <v>271</v>
      </c>
      <c r="M100" s="29" t="s">
        <v>251</v>
      </c>
      <c r="N100" s="23"/>
      <c r="O100" s="29"/>
      <c r="P100" s="29" t="s">
        <v>266</v>
      </c>
    </row>
    <row r="101" spans="1:16" x14ac:dyDescent="0.35">
      <c r="A101" s="26" t="s">
        <v>238</v>
      </c>
      <c r="B101" s="27" t="s">
        <v>162</v>
      </c>
      <c r="C101" s="73"/>
      <c r="D101" s="29"/>
      <c r="E101" s="29"/>
      <c r="F101" s="29"/>
      <c r="G101" s="29"/>
      <c r="H101" s="29"/>
      <c r="I101" s="29"/>
      <c r="J101" s="29"/>
      <c r="K101" s="29"/>
      <c r="L101" s="29">
        <v>36341</v>
      </c>
      <c r="M101" s="29">
        <v>39040</v>
      </c>
      <c r="N101" s="29"/>
      <c r="O101" s="29"/>
      <c r="P101" s="29">
        <v>29850</v>
      </c>
    </row>
    <row r="102" spans="1:16" x14ac:dyDescent="0.35">
      <c r="A102" s="26" t="s">
        <v>238</v>
      </c>
      <c r="B102" s="27" t="s">
        <v>163</v>
      </c>
      <c r="C102" s="92"/>
      <c r="D102" s="29"/>
      <c r="E102" s="29"/>
      <c r="F102" s="29"/>
      <c r="G102" s="29"/>
      <c r="H102" s="29"/>
      <c r="I102" s="29"/>
      <c r="J102" s="29"/>
      <c r="K102" s="29"/>
      <c r="L102" s="29">
        <v>37943</v>
      </c>
      <c r="M102" s="29">
        <v>39858</v>
      </c>
      <c r="N102" s="29"/>
      <c r="O102" s="29"/>
      <c r="P102" s="29">
        <v>34086</v>
      </c>
    </row>
    <row r="103" spans="1:16" x14ac:dyDescent="0.35">
      <c r="A103" s="26" t="s">
        <v>164</v>
      </c>
      <c r="B103" s="27"/>
      <c r="C103" s="60"/>
      <c r="D103" s="29"/>
      <c r="E103" s="29"/>
      <c r="F103" s="29"/>
      <c r="G103" s="29"/>
      <c r="H103" s="29"/>
      <c r="I103" s="29"/>
      <c r="J103" s="23"/>
      <c r="K103" s="29"/>
      <c r="L103" s="29" t="s">
        <v>243</v>
      </c>
      <c r="M103" s="29" t="s">
        <v>550</v>
      </c>
      <c r="N103" s="29"/>
      <c r="O103" s="29"/>
      <c r="P103" s="29" t="s">
        <v>250</v>
      </c>
    </row>
    <row r="104" spans="1:16" x14ac:dyDescent="0.35">
      <c r="A104" s="61" t="s">
        <v>165</v>
      </c>
      <c r="B104" s="62"/>
      <c r="C104" s="34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</row>
    <row r="105" spans="1:16" x14ac:dyDescent="0.35">
      <c r="A105" s="225" t="s">
        <v>167</v>
      </c>
      <c r="B105" s="63"/>
      <c r="C105" s="64">
        <f t="shared" ref="C105:P105" si="29">IFERROR(C102-C101,"")</f>
        <v>0</v>
      </c>
      <c r="D105" s="64">
        <f t="shared" si="29"/>
        <v>0</v>
      </c>
      <c r="E105" s="64">
        <f t="shared" si="29"/>
        <v>0</v>
      </c>
      <c r="F105" s="64">
        <f t="shared" si="29"/>
        <v>0</v>
      </c>
      <c r="G105" s="64">
        <f t="shared" si="29"/>
        <v>0</v>
      </c>
      <c r="H105" s="64">
        <f t="shared" si="29"/>
        <v>0</v>
      </c>
      <c r="I105" s="64">
        <f t="shared" si="29"/>
        <v>0</v>
      </c>
      <c r="J105" s="64">
        <f t="shared" si="29"/>
        <v>0</v>
      </c>
      <c r="K105" s="64">
        <f t="shared" si="29"/>
        <v>0</v>
      </c>
      <c r="L105" s="64">
        <f t="shared" si="29"/>
        <v>1602</v>
      </c>
      <c r="M105" s="64">
        <f t="shared" si="29"/>
        <v>818</v>
      </c>
      <c r="N105" s="64">
        <f t="shared" si="29"/>
        <v>0</v>
      </c>
      <c r="O105" s="64">
        <f t="shared" si="29"/>
        <v>0</v>
      </c>
      <c r="P105" s="64">
        <f t="shared" si="29"/>
        <v>4236</v>
      </c>
    </row>
    <row r="106" spans="1:16" x14ac:dyDescent="0.35">
      <c r="A106" s="65" t="s">
        <v>2</v>
      </c>
      <c r="B106" s="66"/>
      <c r="C106" s="71">
        <f>AVERAGE(C98,C105,C91,C84,C77,C70,C63,C56,C49,C42,C28,C21,C14)</f>
        <v>2788.6213942307691</v>
      </c>
      <c r="D106" s="71">
        <f t="shared" ref="D106:N106" si="30">AVERAGE(D98,D105,D91,D84,D77,D70,D63,D56,D49,D42,D28,D21,D14)</f>
        <v>1848.6213942307693</v>
      </c>
      <c r="E106" s="71">
        <f t="shared" si="30"/>
        <v>1848.6213942307693</v>
      </c>
      <c r="F106" s="71">
        <f t="shared" si="30"/>
        <v>2295.9170673076924</v>
      </c>
      <c r="G106" s="71">
        <f t="shared" si="30"/>
        <v>1570.7692307692307</v>
      </c>
      <c r="H106" s="71">
        <f t="shared" si="30"/>
        <v>635.38461538461536</v>
      </c>
      <c r="I106" s="71">
        <f t="shared" si="30"/>
        <v>2470.2247596153848</v>
      </c>
      <c r="J106" s="71">
        <f t="shared" si="30"/>
        <v>2018.3016826923076</v>
      </c>
      <c r="K106" s="71">
        <f t="shared" si="30"/>
        <v>2797</v>
      </c>
      <c r="L106" s="71">
        <f t="shared" si="30"/>
        <v>2744.3846153846152</v>
      </c>
      <c r="M106" s="71">
        <f t="shared" si="30"/>
        <v>2811</v>
      </c>
      <c r="N106" s="71">
        <f t="shared" si="30"/>
        <v>1578.7800480769231</v>
      </c>
      <c r="O106" s="71">
        <f t="shared" ref="O106:P106" si="31">AVERAGE(O98,O105,O91,O84,O77,O70,O63,O56,O49,O42,O28)</f>
        <v>760.3764204545455</v>
      </c>
      <c r="P106" s="71">
        <f t="shared" si="31"/>
        <v>2441.2727272727275</v>
      </c>
    </row>
    <row r="107" spans="1:16" x14ac:dyDescent="0.35">
      <c r="A107" s="21" t="s">
        <v>159</v>
      </c>
      <c r="B107" s="22"/>
      <c r="C107" s="60"/>
      <c r="D107" s="23"/>
      <c r="E107" s="29"/>
      <c r="F107" s="29"/>
      <c r="G107" s="29"/>
      <c r="H107" s="29"/>
      <c r="I107" s="29"/>
      <c r="J107" s="23"/>
      <c r="K107" s="29"/>
      <c r="L107" s="29" t="s">
        <v>243</v>
      </c>
      <c r="M107" s="29"/>
      <c r="N107" s="23"/>
      <c r="O107" s="29"/>
      <c r="P107" s="29" t="s">
        <v>250</v>
      </c>
    </row>
    <row r="108" spans="1:16" x14ac:dyDescent="0.35">
      <c r="A108" s="26" t="s">
        <v>238</v>
      </c>
      <c r="B108" s="27" t="s">
        <v>162</v>
      </c>
      <c r="C108" s="73"/>
      <c r="D108" s="29"/>
      <c r="E108" s="29"/>
      <c r="F108" s="29"/>
      <c r="G108" s="29"/>
      <c r="H108" s="29"/>
      <c r="I108" s="29"/>
      <c r="J108" s="29"/>
      <c r="K108" s="29"/>
      <c r="L108" s="29">
        <v>37943</v>
      </c>
      <c r="M108" s="29"/>
      <c r="N108" s="29"/>
      <c r="O108" s="29"/>
      <c r="P108" s="29">
        <v>34086</v>
      </c>
    </row>
    <row r="109" spans="1:16" x14ac:dyDescent="0.35">
      <c r="A109" s="26" t="s">
        <v>238</v>
      </c>
      <c r="B109" s="27" t="s">
        <v>163</v>
      </c>
      <c r="C109" s="92"/>
      <c r="D109" s="29"/>
      <c r="E109" s="29"/>
      <c r="F109" s="29"/>
      <c r="G109" s="29"/>
      <c r="H109" s="29"/>
      <c r="I109" s="29"/>
      <c r="J109" s="29"/>
      <c r="K109" s="29"/>
      <c r="L109" s="29">
        <v>39040</v>
      </c>
      <c r="M109" s="29"/>
      <c r="N109" s="29"/>
      <c r="O109" s="29"/>
      <c r="P109" s="29">
        <v>39040</v>
      </c>
    </row>
    <row r="110" spans="1:16" x14ac:dyDescent="0.35">
      <c r="A110" s="26" t="s">
        <v>164</v>
      </c>
      <c r="B110" s="27"/>
      <c r="C110" s="60"/>
      <c r="D110" s="29"/>
      <c r="E110" s="29"/>
      <c r="F110" s="29"/>
      <c r="G110" s="29"/>
      <c r="H110" s="29"/>
      <c r="I110" s="29"/>
      <c r="J110" s="23"/>
      <c r="K110" s="29"/>
      <c r="L110" s="29" t="s">
        <v>251</v>
      </c>
      <c r="M110" s="29"/>
      <c r="N110" s="29"/>
      <c r="O110" s="29"/>
      <c r="P110" s="29" t="s">
        <v>251</v>
      </c>
    </row>
    <row r="111" spans="1:16" x14ac:dyDescent="0.35">
      <c r="A111" s="61" t="s">
        <v>165</v>
      </c>
      <c r="B111" s="62"/>
      <c r="C111" s="34"/>
      <c r="D111" s="29"/>
      <c r="E111" s="29"/>
      <c r="F111" s="29"/>
      <c r="G111" s="29"/>
      <c r="H111" s="29"/>
      <c r="I111" s="29"/>
      <c r="J111" s="29"/>
      <c r="K111" s="29"/>
      <c r="L111" s="29" t="s">
        <v>270</v>
      </c>
      <c r="M111" s="29"/>
      <c r="N111" s="29"/>
      <c r="O111" s="29"/>
      <c r="P111" s="29" t="s">
        <v>270</v>
      </c>
    </row>
    <row r="112" spans="1:16" x14ac:dyDescent="0.35">
      <c r="A112" s="225" t="s">
        <v>167</v>
      </c>
      <c r="B112" s="63"/>
      <c r="C112" s="64">
        <f t="shared" ref="C112:P112" si="32">IFERROR(C109-C108,"")</f>
        <v>0</v>
      </c>
      <c r="D112" s="64">
        <f t="shared" si="32"/>
        <v>0</v>
      </c>
      <c r="E112" s="64">
        <f t="shared" si="32"/>
        <v>0</v>
      </c>
      <c r="F112" s="64">
        <f t="shared" si="32"/>
        <v>0</v>
      </c>
      <c r="G112" s="64">
        <f t="shared" si="32"/>
        <v>0</v>
      </c>
      <c r="H112" s="64">
        <f t="shared" si="32"/>
        <v>0</v>
      </c>
      <c r="I112" s="64">
        <f t="shared" si="32"/>
        <v>0</v>
      </c>
      <c r="J112" s="64">
        <f t="shared" si="32"/>
        <v>0</v>
      </c>
      <c r="K112" s="64">
        <f t="shared" si="32"/>
        <v>0</v>
      </c>
      <c r="L112" s="64">
        <f t="shared" si="32"/>
        <v>1097</v>
      </c>
      <c r="M112" s="64">
        <f t="shared" si="32"/>
        <v>0</v>
      </c>
      <c r="N112" s="64">
        <f t="shared" si="32"/>
        <v>0</v>
      </c>
      <c r="O112" s="64">
        <f t="shared" si="32"/>
        <v>0</v>
      </c>
      <c r="P112" s="64">
        <f t="shared" si="32"/>
        <v>4954</v>
      </c>
    </row>
    <row r="113" spans="1:16" x14ac:dyDescent="0.35">
      <c r="A113" s="65" t="s">
        <v>2</v>
      </c>
      <c r="B113" s="66"/>
      <c r="C113" s="71">
        <f>AVERAGE(C105,C112,C98,C91,C84,C77,C70,C63,C56,C49,C35,C28,C21,C14)</f>
        <v>2572.1428571428573</v>
      </c>
      <c r="D113" s="71">
        <f t="shared" ref="D113:N113" si="33">AVERAGE(D105,D112,D98,D91,D84,D77,D70,D63,D56,D49,D35,D28,D21,D14)</f>
        <v>1716.5770089285713</v>
      </c>
      <c r="E113" s="71">
        <f t="shared" si="33"/>
        <v>2132.1428571428573</v>
      </c>
      <c r="F113" s="71">
        <f t="shared" si="33"/>
        <v>2589.4341517857142</v>
      </c>
      <c r="G113" s="71">
        <f t="shared" si="33"/>
        <v>1716.5770089285713</v>
      </c>
      <c r="H113" s="71">
        <f t="shared" si="33"/>
        <v>848.00558035714289</v>
      </c>
      <c r="I113" s="71">
        <f t="shared" si="33"/>
        <v>2373.0055803571427</v>
      </c>
      <c r="J113" s="71">
        <f t="shared" si="33"/>
        <v>1716.5770089285713</v>
      </c>
      <c r="K113" s="71">
        <f t="shared" si="33"/>
        <v>2626.7142857142858</v>
      </c>
      <c r="L113" s="71">
        <f t="shared" si="33"/>
        <v>2307.2857142857142</v>
      </c>
      <c r="M113" s="71">
        <f t="shared" si="33"/>
        <v>2602.7756696428573</v>
      </c>
      <c r="N113" s="71">
        <f t="shared" si="33"/>
        <v>1458.5714285714287</v>
      </c>
      <c r="O113" s="71">
        <f t="shared" ref="O113:P113" si="34">AVERAGE(O105,O112,O98,O91,O84,O77,O70,O63,O56,O49,O35)</f>
        <v>301.36363636363637</v>
      </c>
      <c r="P113" s="71">
        <f t="shared" si="34"/>
        <v>2836.5454545454545</v>
      </c>
    </row>
  </sheetData>
  <sheetProtection algorithmName="SHA-512" hashValue="CPRlTEdD/2kd2EPRKN+M2Wh1yUOhIbjnUhBYcEv/zQXrOtKkzi7GpPJoGQUm69fOK/9dR0GVUcW6eppKz632+g==" saltValue="xEFBRii/wzvylD9abOUKsA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/>
  <dimension ref="A1:W71"/>
  <sheetViews>
    <sheetView topLeftCell="A28" workbookViewId="0">
      <selection activeCell="C71" sqref="C71:T71"/>
    </sheetView>
  </sheetViews>
  <sheetFormatPr defaultColWidth="8.81640625" defaultRowHeight="14.5" x14ac:dyDescent="0.35"/>
  <cols>
    <col min="1" max="1" width="16.1796875" customWidth="1"/>
    <col min="2" max="2" width="5.81640625" customWidth="1"/>
    <col min="3" max="5" width="21.54296875" bestFit="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20" width="17.1796875" bestFit="1" customWidth="1"/>
    <col min="21" max="21" width="15.1796875" bestFit="1" customWidth="1"/>
    <col min="22" max="22" width="16.54296875" bestFit="1" customWidth="1"/>
  </cols>
  <sheetData>
    <row r="1" spans="1:23" ht="24" thickBot="1" x14ac:dyDescent="0.4">
      <c r="A1" s="186"/>
    </row>
    <row r="2" spans="1:23" x14ac:dyDescent="0.35">
      <c r="E2" s="130" t="s">
        <v>195</v>
      </c>
      <c r="F2" s="131"/>
      <c r="G2" s="131" t="s">
        <v>104</v>
      </c>
      <c r="H2" s="131"/>
      <c r="I2" s="132"/>
    </row>
    <row r="3" spans="1:23" x14ac:dyDescent="0.35">
      <c r="E3" s="133"/>
      <c r="F3" s="134" t="s">
        <v>106</v>
      </c>
      <c r="G3" s="135" t="s">
        <v>275</v>
      </c>
      <c r="H3" s="134"/>
      <c r="I3" s="136"/>
    </row>
    <row r="4" spans="1:23" ht="15" thickBot="1" x14ac:dyDescent="0.4">
      <c r="A4" t="s">
        <v>168</v>
      </c>
      <c r="B4" t="s">
        <v>169</v>
      </c>
      <c r="E4" s="137"/>
      <c r="F4" s="138" t="s">
        <v>276</v>
      </c>
      <c r="G4" s="139"/>
      <c r="H4" s="138" t="s">
        <v>112</v>
      </c>
      <c r="I4" s="140"/>
    </row>
    <row r="5" spans="1:23" ht="24" customHeight="1" x14ac:dyDescent="0.45">
      <c r="A5" s="179" t="s">
        <v>277</v>
      </c>
      <c r="B5" t="s">
        <v>278</v>
      </c>
    </row>
    <row r="6" spans="1:23" ht="28.4" customHeight="1" x14ac:dyDescent="0.35">
      <c r="A6" s="142" t="s">
        <v>200</v>
      </c>
      <c r="B6" s="169"/>
      <c r="C6" s="142" t="s">
        <v>57</v>
      </c>
      <c r="D6" s="142" t="s">
        <v>78</v>
      </c>
      <c r="E6" s="142" t="s">
        <v>58</v>
      </c>
      <c r="F6" s="142" t="s">
        <v>79</v>
      </c>
      <c r="G6" s="143" t="s">
        <v>80</v>
      </c>
      <c r="H6" s="143" t="s">
        <v>81</v>
      </c>
      <c r="I6" s="143" t="s">
        <v>59</v>
      </c>
      <c r="J6" s="142" t="s">
        <v>82</v>
      </c>
      <c r="K6" s="142" t="s">
        <v>75</v>
      </c>
      <c r="L6" s="142" t="s">
        <v>83</v>
      </c>
      <c r="M6" s="142" t="s">
        <v>60</v>
      </c>
      <c r="N6" s="142" t="s">
        <v>61</v>
      </c>
      <c r="O6" s="142" t="s">
        <v>62</v>
      </c>
      <c r="P6" s="144" t="s">
        <v>63</v>
      </c>
      <c r="Q6" s="142" t="s">
        <v>84</v>
      </c>
      <c r="R6" s="142" t="s">
        <v>85</v>
      </c>
      <c r="S6" s="142" t="s">
        <v>86</v>
      </c>
      <c r="T6" s="142" t="s">
        <v>87</v>
      </c>
      <c r="U6" s="142" t="s">
        <v>65</v>
      </c>
      <c r="V6" s="142" t="s">
        <v>35</v>
      </c>
      <c r="W6" s="142"/>
    </row>
    <row r="7" spans="1:23" x14ac:dyDescent="0.35">
      <c r="A7" s="252" t="s">
        <v>137</v>
      </c>
      <c r="B7" s="252"/>
      <c r="C7" s="145" t="s">
        <v>140</v>
      </c>
      <c r="D7" s="145" t="s">
        <v>141</v>
      </c>
      <c r="E7" s="146" t="s">
        <v>138</v>
      </c>
      <c r="F7" s="145" t="s">
        <v>215</v>
      </c>
      <c r="G7" s="145" t="s">
        <v>142</v>
      </c>
      <c r="H7" s="145" t="s">
        <v>143</v>
      </c>
      <c r="I7" s="145" t="s">
        <v>144</v>
      </c>
      <c r="J7" s="145" t="s">
        <v>145</v>
      </c>
      <c r="K7" s="145" t="s">
        <v>146</v>
      </c>
      <c r="L7" s="145" t="s">
        <v>147</v>
      </c>
      <c r="M7" s="145" t="s">
        <v>148</v>
      </c>
      <c r="N7" s="145" t="s">
        <v>149</v>
      </c>
      <c r="O7" s="145" t="s">
        <v>150</v>
      </c>
      <c r="P7" s="145" t="s">
        <v>151</v>
      </c>
      <c r="Q7" s="145" t="s">
        <v>152</v>
      </c>
      <c r="R7" s="145" t="s">
        <v>153</v>
      </c>
      <c r="S7" s="145" t="s">
        <v>154</v>
      </c>
      <c r="T7" s="145" t="s">
        <v>155</v>
      </c>
      <c r="U7" s="145" t="s">
        <v>157</v>
      </c>
      <c r="V7" s="145" t="s">
        <v>279</v>
      </c>
    </row>
    <row r="8" spans="1:23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2</v>
      </c>
      <c r="K8" s="147">
        <v>1</v>
      </c>
      <c r="L8" s="147">
        <v>2</v>
      </c>
      <c r="M8" s="147">
        <v>1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4</v>
      </c>
      <c r="U8" s="147">
        <v>1</v>
      </c>
      <c r="V8" s="147">
        <v>1</v>
      </c>
    </row>
    <row r="9" spans="1:23" x14ac:dyDescent="0.35">
      <c r="A9" s="150" t="s">
        <v>159</v>
      </c>
      <c r="B9" s="151"/>
      <c r="C9" s="173" t="s">
        <v>225</v>
      </c>
      <c r="D9" s="152"/>
      <c r="E9" s="152" t="s">
        <v>225</v>
      </c>
      <c r="F9" s="152" t="s">
        <v>225</v>
      </c>
      <c r="G9" s="152"/>
      <c r="H9" s="152"/>
      <c r="I9" s="152"/>
      <c r="J9" s="152"/>
      <c r="K9" s="154"/>
      <c r="L9" s="152"/>
      <c r="M9" s="152" t="s">
        <v>225</v>
      </c>
      <c r="N9" s="152" t="s">
        <v>225</v>
      </c>
      <c r="O9" s="173" t="s">
        <v>225</v>
      </c>
      <c r="P9" s="173" t="s">
        <v>225</v>
      </c>
      <c r="Q9" s="154"/>
      <c r="R9" s="152" t="s">
        <v>225</v>
      </c>
      <c r="S9" s="152" t="s">
        <v>225</v>
      </c>
      <c r="T9" s="152" t="s">
        <v>225</v>
      </c>
      <c r="U9" s="152"/>
      <c r="V9" s="173" t="s">
        <v>225</v>
      </c>
    </row>
    <row r="10" spans="1:23" x14ac:dyDescent="0.35">
      <c r="A10" s="155" t="s">
        <v>161</v>
      </c>
      <c r="B10" s="156" t="s">
        <v>162</v>
      </c>
      <c r="C10" s="172">
        <v>0</v>
      </c>
      <c r="D10" s="157"/>
      <c r="E10" s="157">
        <v>0</v>
      </c>
      <c r="F10" s="157">
        <v>0</v>
      </c>
      <c r="G10" s="157"/>
      <c r="H10" s="157"/>
      <c r="I10" s="157"/>
      <c r="J10" s="157"/>
      <c r="K10" s="157"/>
      <c r="L10" s="157"/>
      <c r="M10" s="157">
        <v>0</v>
      </c>
      <c r="N10" s="157">
        <v>0</v>
      </c>
      <c r="O10" s="172">
        <v>0</v>
      </c>
      <c r="P10" s="172">
        <v>0</v>
      </c>
      <c r="Q10" s="157"/>
      <c r="R10" s="157">
        <v>0</v>
      </c>
      <c r="S10" s="157">
        <v>0</v>
      </c>
      <c r="T10" s="157">
        <v>0</v>
      </c>
      <c r="U10" s="157"/>
      <c r="V10" s="172">
        <v>0</v>
      </c>
    </row>
    <row r="11" spans="1:23" x14ac:dyDescent="0.35">
      <c r="A11" s="155" t="s">
        <v>161</v>
      </c>
      <c r="B11" s="156" t="s">
        <v>163</v>
      </c>
      <c r="C11" s="172">
        <v>18695</v>
      </c>
      <c r="D11" s="157"/>
      <c r="E11" s="157">
        <v>29030</v>
      </c>
      <c r="F11" s="157">
        <v>29030</v>
      </c>
      <c r="G11" s="157"/>
      <c r="H11" s="157"/>
      <c r="I11" s="157">
        <v>39409</v>
      </c>
      <c r="J11" s="157"/>
      <c r="K11" s="157">
        <v>30726</v>
      </c>
      <c r="L11" s="157"/>
      <c r="M11" s="157">
        <v>29030</v>
      </c>
      <c r="N11" s="157">
        <v>29030</v>
      </c>
      <c r="O11" s="172">
        <v>4354</v>
      </c>
      <c r="P11" s="172">
        <v>4354</v>
      </c>
      <c r="Q11" s="157"/>
      <c r="R11" s="157">
        <v>29030</v>
      </c>
      <c r="S11" s="157">
        <v>29030</v>
      </c>
      <c r="T11" s="157">
        <v>29030</v>
      </c>
      <c r="U11" s="157"/>
      <c r="V11" s="172">
        <v>18695</v>
      </c>
    </row>
    <row r="12" spans="1:23" x14ac:dyDescent="0.35">
      <c r="A12" s="155" t="s">
        <v>164</v>
      </c>
      <c r="B12" s="156"/>
      <c r="C12" s="176">
        <v>43497</v>
      </c>
      <c r="D12" s="157"/>
      <c r="E12" s="166">
        <v>44048</v>
      </c>
      <c r="F12" s="157" t="s">
        <v>280</v>
      </c>
      <c r="G12" s="157"/>
      <c r="H12" s="157"/>
      <c r="I12" s="157" t="s">
        <v>251</v>
      </c>
      <c r="J12" s="166"/>
      <c r="K12" s="157" t="s">
        <v>281</v>
      </c>
      <c r="L12" s="157"/>
      <c r="M12" s="157" t="s">
        <v>280</v>
      </c>
      <c r="N12" s="157" t="s">
        <v>280</v>
      </c>
      <c r="O12" s="178">
        <v>42861</v>
      </c>
      <c r="P12" s="176">
        <v>42861</v>
      </c>
      <c r="Q12" s="157"/>
      <c r="R12" s="157" t="s">
        <v>280</v>
      </c>
      <c r="S12" s="157" t="s">
        <v>280</v>
      </c>
      <c r="T12" s="157" t="s">
        <v>280</v>
      </c>
      <c r="U12" s="157"/>
      <c r="V12" s="178">
        <v>43497</v>
      </c>
    </row>
    <row r="13" spans="1:23" ht="29" x14ac:dyDescent="0.35">
      <c r="A13" s="160" t="s">
        <v>165</v>
      </c>
      <c r="B13" s="161"/>
      <c r="C13" s="162" t="s">
        <v>166</v>
      </c>
      <c r="D13" s="157"/>
      <c r="E13" s="157" t="s">
        <v>264</v>
      </c>
      <c r="F13" s="157" t="s">
        <v>264</v>
      </c>
      <c r="G13" s="157"/>
      <c r="H13" s="157"/>
      <c r="I13" s="157"/>
      <c r="J13" s="157"/>
      <c r="K13" s="157" t="s">
        <v>264</v>
      </c>
      <c r="L13" s="157"/>
      <c r="M13" s="157" t="s">
        <v>264</v>
      </c>
      <c r="N13" s="157" t="s">
        <v>264</v>
      </c>
      <c r="O13" s="162" t="s">
        <v>166</v>
      </c>
      <c r="P13" s="162" t="s">
        <v>166</v>
      </c>
      <c r="Q13" s="157"/>
      <c r="R13" s="157" t="s">
        <v>264</v>
      </c>
      <c r="S13" s="157" t="s">
        <v>264</v>
      </c>
      <c r="T13" s="157" t="s">
        <v>264</v>
      </c>
      <c r="U13" s="157"/>
      <c r="V13" s="162" t="s">
        <v>166</v>
      </c>
    </row>
    <row r="14" spans="1:23" x14ac:dyDescent="0.35">
      <c r="A14" s="225" t="s">
        <v>167</v>
      </c>
      <c r="B14" s="225"/>
      <c r="C14" s="225">
        <f>IFERROR(C11-C10,"")</f>
        <v>18695</v>
      </c>
      <c r="D14" s="225">
        <f t="shared" ref="D14:W14" si="0">IFERROR(D11-D10,"")</f>
        <v>0</v>
      </c>
      <c r="E14" s="225">
        <f t="shared" si="0"/>
        <v>29030</v>
      </c>
      <c r="F14" s="225">
        <f t="shared" si="0"/>
        <v>29030</v>
      </c>
      <c r="G14" s="225">
        <f t="shared" si="0"/>
        <v>0</v>
      </c>
      <c r="H14" s="225">
        <f t="shared" si="0"/>
        <v>0</v>
      </c>
      <c r="I14" s="225">
        <f t="shared" si="0"/>
        <v>39409</v>
      </c>
      <c r="J14" s="225">
        <f t="shared" si="0"/>
        <v>0</v>
      </c>
      <c r="K14" s="225">
        <f t="shared" si="0"/>
        <v>30726</v>
      </c>
      <c r="L14" s="225">
        <f t="shared" si="0"/>
        <v>0</v>
      </c>
      <c r="M14" s="225">
        <f t="shared" si="0"/>
        <v>29030</v>
      </c>
      <c r="N14" s="225">
        <f t="shared" si="0"/>
        <v>29030</v>
      </c>
      <c r="O14" s="225">
        <f t="shared" si="0"/>
        <v>4354</v>
      </c>
      <c r="P14" s="225">
        <f t="shared" si="0"/>
        <v>4354</v>
      </c>
      <c r="Q14" s="225">
        <f t="shared" si="0"/>
        <v>0</v>
      </c>
      <c r="R14" s="225">
        <f t="shared" si="0"/>
        <v>29030</v>
      </c>
      <c r="S14" s="225">
        <f t="shared" si="0"/>
        <v>29030</v>
      </c>
      <c r="T14" s="225">
        <f t="shared" si="0"/>
        <v>29030</v>
      </c>
      <c r="U14" s="225">
        <f t="shared" si="0"/>
        <v>0</v>
      </c>
      <c r="V14" s="225">
        <f t="shared" si="0"/>
        <v>18695</v>
      </c>
      <c r="W14" s="225">
        <f t="shared" si="0"/>
        <v>0</v>
      </c>
    </row>
    <row r="15" spans="1:23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</row>
    <row r="16" spans="1:23" x14ac:dyDescent="0.35">
      <c r="A16" s="150" t="s">
        <v>159</v>
      </c>
      <c r="B16" s="151"/>
      <c r="C16" s="163"/>
      <c r="D16" s="154"/>
      <c r="E16" s="152">
        <v>44048</v>
      </c>
      <c r="F16" s="154" t="s">
        <v>280</v>
      </c>
      <c r="G16" s="154"/>
      <c r="H16" s="154"/>
      <c r="I16" s="154"/>
      <c r="J16" s="152"/>
      <c r="K16" s="154"/>
      <c r="L16" s="154"/>
      <c r="M16" s="154"/>
      <c r="N16" s="152" t="s">
        <v>280</v>
      </c>
      <c r="O16" s="178">
        <v>42861</v>
      </c>
      <c r="P16" s="176">
        <v>42861</v>
      </c>
      <c r="Q16" s="154"/>
      <c r="R16" s="154"/>
      <c r="S16" s="154" t="s">
        <v>280</v>
      </c>
      <c r="T16" s="154"/>
      <c r="U16" s="154"/>
      <c r="V16" s="152">
        <v>43497</v>
      </c>
    </row>
    <row r="17" spans="1:23" x14ac:dyDescent="0.35">
      <c r="A17" s="155" t="s">
        <v>161</v>
      </c>
      <c r="B17" s="156" t="s">
        <v>162</v>
      </c>
      <c r="C17" s="165"/>
      <c r="D17" s="157"/>
      <c r="E17" s="157">
        <v>29030</v>
      </c>
      <c r="F17" s="157">
        <v>29030</v>
      </c>
      <c r="G17" s="157"/>
      <c r="H17" s="157"/>
      <c r="I17" s="157"/>
      <c r="J17" s="157"/>
      <c r="K17" s="157"/>
      <c r="L17" s="157"/>
      <c r="M17" s="157"/>
      <c r="N17" s="157">
        <v>29030</v>
      </c>
      <c r="O17" s="172">
        <v>4354</v>
      </c>
      <c r="P17" s="172">
        <v>4354</v>
      </c>
      <c r="Q17" s="157"/>
      <c r="R17" s="157"/>
      <c r="S17" s="157">
        <v>29030</v>
      </c>
      <c r="T17" s="157"/>
      <c r="U17" s="157"/>
      <c r="V17" s="157">
        <v>18695</v>
      </c>
    </row>
    <row r="18" spans="1:23" x14ac:dyDescent="0.35">
      <c r="A18" s="155" t="s">
        <v>161</v>
      </c>
      <c r="B18" s="156" t="s">
        <v>163</v>
      </c>
      <c r="C18" s="165"/>
      <c r="D18" s="157"/>
      <c r="E18" s="157">
        <v>30726</v>
      </c>
      <c r="F18" s="157">
        <v>30726</v>
      </c>
      <c r="G18" s="157"/>
      <c r="H18" s="157"/>
      <c r="I18" s="157"/>
      <c r="J18" s="157"/>
      <c r="K18" s="157"/>
      <c r="L18" s="157"/>
      <c r="M18" s="157"/>
      <c r="N18" s="157">
        <v>30726</v>
      </c>
      <c r="O18" s="172">
        <v>7361</v>
      </c>
      <c r="P18" s="172">
        <v>18695</v>
      </c>
      <c r="Q18" s="157"/>
      <c r="R18" s="157"/>
      <c r="S18" s="157">
        <v>30726</v>
      </c>
      <c r="T18" s="157"/>
      <c r="U18" s="157"/>
      <c r="V18" s="157">
        <v>30726</v>
      </c>
    </row>
    <row r="19" spans="1:23" x14ac:dyDescent="0.35">
      <c r="A19" s="155" t="s">
        <v>164</v>
      </c>
      <c r="B19" s="156"/>
      <c r="C19" s="165"/>
      <c r="D19" s="157"/>
      <c r="E19" s="157" t="s">
        <v>281</v>
      </c>
      <c r="F19" s="157" t="s">
        <v>281</v>
      </c>
      <c r="G19" s="157"/>
      <c r="H19" s="157"/>
      <c r="I19" s="157"/>
      <c r="J19" s="166"/>
      <c r="K19" s="157"/>
      <c r="L19" s="157"/>
      <c r="M19" s="157"/>
      <c r="N19" s="157" t="s">
        <v>281</v>
      </c>
      <c r="O19" s="176">
        <v>42996</v>
      </c>
      <c r="P19" s="176">
        <v>43497</v>
      </c>
      <c r="Q19" s="157"/>
      <c r="R19" s="157"/>
      <c r="S19" s="157" t="s">
        <v>281</v>
      </c>
      <c r="T19" s="157"/>
      <c r="U19" s="157"/>
      <c r="V19" s="157" t="s">
        <v>281</v>
      </c>
    </row>
    <row r="20" spans="1:23" ht="29" x14ac:dyDescent="0.35">
      <c r="A20" s="160" t="s">
        <v>165</v>
      </c>
      <c r="B20" s="167"/>
      <c r="C20" s="165"/>
      <c r="D20" s="157"/>
      <c r="E20" s="157" t="s">
        <v>264</v>
      </c>
      <c r="F20" s="157" t="s">
        <v>264</v>
      </c>
      <c r="G20" s="157"/>
      <c r="H20" s="157"/>
      <c r="I20" s="157"/>
      <c r="J20" s="157"/>
      <c r="K20" s="157"/>
      <c r="L20" s="157"/>
      <c r="M20" s="157"/>
      <c r="N20" s="157" t="s">
        <v>264</v>
      </c>
      <c r="O20" s="162" t="s">
        <v>166</v>
      </c>
      <c r="P20" s="162" t="s">
        <v>166</v>
      </c>
      <c r="Q20" s="157"/>
      <c r="R20" s="157"/>
      <c r="S20" s="157" t="s">
        <v>264</v>
      </c>
      <c r="T20" s="157"/>
      <c r="U20" s="157"/>
      <c r="V20" s="157" t="s">
        <v>264</v>
      </c>
    </row>
    <row r="21" spans="1:23" x14ac:dyDescent="0.35">
      <c r="A21" s="225" t="s">
        <v>167</v>
      </c>
      <c r="B21" s="225"/>
      <c r="C21" s="225">
        <f>IFERROR(C18-C17,"")</f>
        <v>0</v>
      </c>
      <c r="D21" s="225">
        <f t="shared" ref="D21:W21" si="1">IFERROR(D18-D17,"")</f>
        <v>0</v>
      </c>
      <c r="E21" s="225">
        <f t="shared" si="1"/>
        <v>1696</v>
      </c>
      <c r="F21" s="225">
        <f t="shared" si="1"/>
        <v>1696</v>
      </c>
      <c r="G21" s="225">
        <f t="shared" si="1"/>
        <v>0</v>
      </c>
      <c r="H21" s="225">
        <f t="shared" si="1"/>
        <v>0</v>
      </c>
      <c r="I21" s="225">
        <f t="shared" si="1"/>
        <v>0</v>
      </c>
      <c r="J21" s="225">
        <f t="shared" si="1"/>
        <v>0</v>
      </c>
      <c r="K21" s="225">
        <f t="shared" si="1"/>
        <v>0</v>
      </c>
      <c r="L21" s="225">
        <f t="shared" si="1"/>
        <v>0</v>
      </c>
      <c r="M21" s="225">
        <f t="shared" si="1"/>
        <v>0</v>
      </c>
      <c r="N21" s="225">
        <f t="shared" si="1"/>
        <v>1696</v>
      </c>
      <c r="O21" s="225">
        <f t="shared" si="1"/>
        <v>3007</v>
      </c>
      <c r="P21" s="225">
        <f t="shared" si="1"/>
        <v>14341</v>
      </c>
      <c r="Q21" s="225">
        <f t="shared" si="1"/>
        <v>0</v>
      </c>
      <c r="R21" s="225">
        <f t="shared" si="1"/>
        <v>0</v>
      </c>
      <c r="S21" s="225">
        <f t="shared" si="1"/>
        <v>1696</v>
      </c>
      <c r="T21" s="225">
        <f t="shared" si="1"/>
        <v>0</v>
      </c>
      <c r="U21" s="225">
        <f t="shared" si="1"/>
        <v>0</v>
      </c>
      <c r="V21" s="225">
        <f t="shared" si="1"/>
        <v>12031</v>
      </c>
      <c r="W21" s="225">
        <f t="shared" si="1"/>
        <v>0</v>
      </c>
    </row>
    <row r="22" spans="1:23" ht="16.399999999999999" customHeight="1" x14ac:dyDescent="0.35">
      <c r="A22" s="65" t="s">
        <v>2</v>
      </c>
      <c r="B22" s="65"/>
      <c r="C22" s="65">
        <f>AVERAGE(C14,C21)</f>
        <v>9347.5</v>
      </c>
      <c r="D22" s="65">
        <f t="shared" ref="D22:W22" si="2">AVERAGE(D14,D21)</f>
        <v>0</v>
      </c>
      <c r="E22" s="65">
        <f t="shared" si="2"/>
        <v>15363</v>
      </c>
      <c r="F22" s="65">
        <f t="shared" si="2"/>
        <v>15363</v>
      </c>
      <c r="G22" s="65">
        <f t="shared" si="2"/>
        <v>0</v>
      </c>
      <c r="H22" s="65">
        <f t="shared" si="2"/>
        <v>0</v>
      </c>
      <c r="I22" s="65">
        <f t="shared" si="2"/>
        <v>19704.5</v>
      </c>
      <c r="J22" s="65">
        <f t="shared" si="2"/>
        <v>0</v>
      </c>
      <c r="K22" s="65">
        <f t="shared" si="2"/>
        <v>15363</v>
      </c>
      <c r="L22" s="65">
        <f t="shared" si="2"/>
        <v>0</v>
      </c>
      <c r="M22" s="65">
        <f t="shared" si="2"/>
        <v>14515</v>
      </c>
      <c r="N22" s="65">
        <f t="shared" si="2"/>
        <v>15363</v>
      </c>
      <c r="O22" s="65">
        <f t="shared" si="2"/>
        <v>3680.5</v>
      </c>
      <c r="P22" s="65">
        <f t="shared" si="2"/>
        <v>9347.5</v>
      </c>
      <c r="Q22" s="65">
        <f t="shared" si="2"/>
        <v>0</v>
      </c>
      <c r="R22" s="65">
        <f t="shared" si="2"/>
        <v>14515</v>
      </c>
      <c r="S22" s="65">
        <f t="shared" si="2"/>
        <v>15363</v>
      </c>
      <c r="T22" s="65">
        <f t="shared" si="2"/>
        <v>14515</v>
      </c>
      <c r="U22" s="65">
        <f t="shared" si="2"/>
        <v>0</v>
      </c>
      <c r="V22" s="65">
        <f t="shared" si="2"/>
        <v>15363</v>
      </c>
      <c r="W22" s="65">
        <f t="shared" si="2"/>
        <v>0</v>
      </c>
    </row>
    <row r="23" spans="1:23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2" t="s">
        <v>281</v>
      </c>
      <c r="O23" s="176">
        <v>42996</v>
      </c>
      <c r="P23" s="152">
        <v>43497</v>
      </c>
      <c r="Q23" s="168"/>
      <c r="R23" s="154"/>
      <c r="S23" s="154"/>
      <c r="T23" s="154"/>
      <c r="U23" s="154"/>
      <c r="V23" s="154"/>
    </row>
    <row r="24" spans="1:23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>
        <v>30726</v>
      </c>
      <c r="O24" s="172">
        <v>7361</v>
      </c>
      <c r="P24" s="157">
        <v>18695</v>
      </c>
      <c r="Q24" s="157"/>
      <c r="R24" s="157"/>
      <c r="S24" s="157"/>
      <c r="T24" s="157"/>
      <c r="U24" s="157"/>
      <c r="V24" s="157"/>
    </row>
    <row r="25" spans="1:23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>
        <v>39409</v>
      </c>
      <c r="O25" s="172">
        <v>22323</v>
      </c>
      <c r="P25" s="157">
        <v>29030</v>
      </c>
      <c r="Q25" s="157"/>
      <c r="R25" s="157"/>
      <c r="S25" s="157"/>
      <c r="T25" s="157"/>
      <c r="U25" s="157"/>
      <c r="V25" s="157"/>
    </row>
    <row r="26" spans="1:23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 t="s">
        <v>251</v>
      </c>
      <c r="O26" s="176">
        <v>43647</v>
      </c>
      <c r="P26" s="157" t="s">
        <v>280</v>
      </c>
      <c r="Q26" s="157"/>
      <c r="R26" s="157"/>
      <c r="S26" s="157"/>
      <c r="T26" s="157"/>
      <c r="U26" s="157"/>
      <c r="V26" s="157"/>
    </row>
    <row r="27" spans="1:23" ht="29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62" t="s">
        <v>166</v>
      </c>
      <c r="P27" s="157" t="s">
        <v>264</v>
      </c>
      <c r="Q27" s="157"/>
      <c r="R27" s="157"/>
      <c r="S27" s="157"/>
      <c r="T27" s="157"/>
      <c r="U27" s="157"/>
      <c r="V27" s="157"/>
    </row>
    <row r="28" spans="1:23" x14ac:dyDescent="0.35">
      <c r="A28" s="225" t="s">
        <v>167</v>
      </c>
      <c r="B28" s="225"/>
      <c r="C28" s="225">
        <f>IFERROR(C25-C24,"")</f>
        <v>0</v>
      </c>
      <c r="D28" s="225">
        <f t="shared" ref="D28:W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8683</v>
      </c>
      <c r="O28" s="225">
        <f t="shared" si="3"/>
        <v>14962</v>
      </c>
      <c r="P28" s="225">
        <f t="shared" si="3"/>
        <v>10335</v>
      </c>
      <c r="Q28" s="225">
        <f t="shared" si="3"/>
        <v>0</v>
      </c>
      <c r="R28" s="225">
        <f t="shared" si="3"/>
        <v>0</v>
      </c>
      <c r="S28" s="225">
        <f t="shared" si="3"/>
        <v>0</v>
      </c>
      <c r="T28" s="225">
        <f t="shared" si="3"/>
        <v>0</v>
      </c>
      <c r="U28" s="225">
        <f t="shared" si="3"/>
        <v>0</v>
      </c>
      <c r="V28" s="225">
        <f t="shared" si="3"/>
        <v>0</v>
      </c>
      <c r="W28" s="225">
        <f t="shared" si="3"/>
        <v>0</v>
      </c>
    </row>
    <row r="29" spans="1:23" ht="16.399999999999999" customHeight="1" x14ac:dyDescent="0.35">
      <c r="A29" s="65" t="s">
        <v>2</v>
      </c>
      <c r="B29" s="65"/>
      <c r="C29" s="65">
        <f>AVERAGE(C21,C28,C14)</f>
        <v>6231.666666666667</v>
      </c>
      <c r="D29" s="65">
        <f t="shared" ref="D29:W29" si="4">AVERAGE(D21,D28,D14)</f>
        <v>0</v>
      </c>
      <c r="E29" s="65">
        <f t="shared" si="4"/>
        <v>10242</v>
      </c>
      <c r="F29" s="65">
        <f t="shared" si="4"/>
        <v>10242</v>
      </c>
      <c r="G29" s="65">
        <f t="shared" si="4"/>
        <v>0</v>
      </c>
      <c r="H29" s="65">
        <f t="shared" si="4"/>
        <v>0</v>
      </c>
      <c r="I29" s="65">
        <f t="shared" si="4"/>
        <v>13136.333333333334</v>
      </c>
      <c r="J29" s="65">
        <f t="shared" si="4"/>
        <v>0</v>
      </c>
      <c r="K29" s="65">
        <f t="shared" si="4"/>
        <v>10242</v>
      </c>
      <c r="L29" s="65">
        <f t="shared" si="4"/>
        <v>0</v>
      </c>
      <c r="M29" s="65">
        <f t="shared" si="4"/>
        <v>9676.6666666666661</v>
      </c>
      <c r="N29" s="65">
        <f t="shared" si="4"/>
        <v>13136.333333333334</v>
      </c>
      <c r="O29" s="65">
        <f t="shared" si="4"/>
        <v>7441</v>
      </c>
      <c r="P29" s="65">
        <f t="shared" si="4"/>
        <v>9676.6666666666661</v>
      </c>
      <c r="Q29" s="65">
        <f t="shared" si="4"/>
        <v>0</v>
      </c>
      <c r="R29" s="65">
        <f t="shared" si="4"/>
        <v>9676.6666666666661</v>
      </c>
      <c r="S29" s="65">
        <f t="shared" si="4"/>
        <v>10242</v>
      </c>
      <c r="T29" s="65">
        <f t="shared" si="4"/>
        <v>9676.6666666666661</v>
      </c>
      <c r="U29" s="65">
        <f t="shared" si="4"/>
        <v>0</v>
      </c>
      <c r="V29" s="65">
        <f t="shared" si="4"/>
        <v>10242</v>
      </c>
      <c r="W29" s="65">
        <f t="shared" si="4"/>
        <v>0</v>
      </c>
    </row>
    <row r="30" spans="1:23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/>
      <c r="O30" s="152">
        <v>43647</v>
      </c>
      <c r="P30" s="154" t="s">
        <v>280</v>
      </c>
      <c r="Q30" s="154"/>
      <c r="R30" s="154"/>
      <c r="S30" s="154"/>
      <c r="T30" s="154"/>
      <c r="U30" s="154"/>
      <c r="V30" s="154"/>
    </row>
    <row r="31" spans="1:23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>
        <v>22323</v>
      </c>
      <c r="P31" s="157">
        <v>29030</v>
      </c>
      <c r="Q31" s="157"/>
      <c r="R31" s="157"/>
      <c r="S31" s="157"/>
      <c r="T31" s="157"/>
      <c r="U31" s="157"/>
      <c r="V31" s="157"/>
    </row>
    <row r="32" spans="1:23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72">
        <v>26174</v>
      </c>
      <c r="P32" s="157">
        <v>30726</v>
      </c>
      <c r="Q32" s="157"/>
      <c r="R32" s="157"/>
      <c r="S32" s="157"/>
      <c r="T32" s="157"/>
      <c r="U32" s="157"/>
      <c r="V32" s="157"/>
    </row>
    <row r="33" spans="1:23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 t="s">
        <v>282</v>
      </c>
      <c r="P33" s="157" t="s">
        <v>281</v>
      </c>
      <c r="Q33" s="157"/>
      <c r="R33" s="157"/>
      <c r="S33" s="157"/>
      <c r="T33" s="157"/>
      <c r="U33" s="157"/>
      <c r="V33" s="157"/>
    </row>
    <row r="34" spans="1:23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 t="s">
        <v>264</v>
      </c>
      <c r="P34" s="157" t="s">
        <v>264</v>
      </c>
      <c r="Q34" s="157"/>
      <c r="R34" s="157"/>
      <c r="S34" s="157"/>
      <c r="T34" s="157"/>
      <c r="U34" s="157"/>
      <c r="V34" s="157"/>
    </row>
    <row r="35" spans="1:23" x14ac:dyDescent="0.35">
      <c r="A35" s="225" t="s">
        <v>167</v>
      </c>
      <c r="B35" s="225"/>
      <c r="C35" s="225">
        <f>IFERROR(C32-C31,"")</f>
        <v>0</v>
      </c>
      <c r="D35" s="225">
        <f t="shared" ref="D35:W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3851</v>
      </c>
      <c r="P35" s="225">
        <f t="shared" si="5"/>
        <v>1696</v>
      </c>
      <c r="Q35" s="225">
        <f t="shared" si="5"/>
        <v>0</v>
      </c>
      <c r="R35" s="225">
        <f t="shared" si="5"/>
        <v>0</v>
      </c>
      <c r="S35" s="225">
        <f t="shared" si="5"/>
        <v>0</v>
      </c>
      <c r="T35" s="225">
        <f t="shared" si="5"/>
        <v>0</v>
      </c>
      <c r="U35" s="225">
        <f t="shared" si="5"/>
        <v>0</v>
      </c>
      <c r="V35" s="225">
        <f t="shared" si="5"/>
        <v>0</v>
      </c>
      <c r="W35" s="225">
        <f t="shared" si="5"/>
        <v>0</v>
      </c>
    </row>
    <row r="36" spans="1:23" ht="16.399999999999999" customHeight="1" x14ac:dyDescent="0.35">
      <c r="A36" s="65" t="s">
        <v>2</v>
      </c>
      <c r="B36" s="65"/>
      <c r="C36" s="65">
        <f>AVERAGE(C28,C35,C21,C14)</f>
        <v>4673.75</v>
      </c>
      <c r="D36" s="65">
        <f t="shared" ref="D36:W36" si="6">AVERAGE(D28,D35,D21,D14)</f>
        <v>0</v>
      </c>
      <c r="E36" s="65">
        <f t="shared" si="6"/>
        <v>7681.5</v>
      </c>
      <c r="F36" s="65">
        <f t="shared" si="6"/>
        <v>7681.5</v>
      </c>
      <c r="G36" s="65">
        <f t="shared" si="6"/>
        <v>0</v>
      </c>
      <c r="H36" s="65">
        <f t="shared" si="6"/>
        <v>0</v>
      </c>
      <c r="I36" s="65">
        <f t="shared" si="6"/>
        <v>9852.25</v>
      </c>
      <c r="J36" s="65">
        <f t="shared" si="6"/>
        <v>0</v>
      </c>
      <c r="K36" s="65">
        <f t="shared" si="6"/>
        <v>7681.5</v>
      </c>
      <c r="L36" s="65">
        <f t="shared" si="6"/>
        <v>0</v>
      </c>
      <c r="M36" s="65">
        <f t="shared" si="6"/>
        <v>7257.5</v>
      </c>
      <c r="N36" s="65">
        <f t="shared" si="6"/>
        <v>9852.25</v>
      </c>
      <c r="O36" s="65">
        <f t="shared" si="6"/>
        <v>6543.5</v>
      </c>
      <c r="P36" s="65">
        <f t="shared" si="6"/>
        <v>7681.5</v>
      </c>
      <c r="Q36" s="65">
        <f t="shared" si="6"/>
        <v>0</v>
      </c>
      <c r="R36" s="65">
        <f t="shared" si="6"/>
        <v>7257.5</v>
      </c>
      <c r="S36" s="65">
        <f t="shared" si="6"/>
        <v>7681.5</v>
      </c>
      <c r="T36" s="65">
        <f t="shared" si="6"/>
        <v>7257.5</v>
      </c>
      <c r="U36" s="65">
        <f t="shared" si="6"/>
        <v>0</v>
      </c>
      <c r="V36" s="65">
        <f t="shared" si="6"/>
        <v>7681.5</v>
      </c>
      <c r="W36" s="65">
        <f t="shared" si="6"/>
        <v>0</v>
      </c>
    </row>
    <row r="37" spans="1:23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52" t="s">
        <v>282</v>
      </c>
      <c r="P37" s="154" t="s">
        <v>281</v>
      </c>
      <c r="Q37" s="154"/>
      <c r="R37" s="154"/>
      <c r="S37" s="154"/>
      <c r="T37" s="154"/>
      <c r="U37" s="154"/>
      <c r="V37" s="154"/>
    </row>
    <row r="38" spans="1:23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>
        <v>26174</v>
      </c>
      <c r="P38" s="157">
        <v>30726</v>
      </c>
      <c r="Q38" s="157"/>
      <c r="R38" s="157"/>
      <c r="S38" s="157"/>
      <c r="T38" s="157"/>
      <c r="U38" s="157"/>
      <c r="V38" s="157"/>
    </row>
    <row r="39" spans="1:23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>
        <v>27302</v>
      </c>
      <c r="P39" s="157">
        <v>35750</v>
      </c>
      <c r="Q39" s="157"/>
      <c r="R39" s="157"/>
      <c r="S39" s="157"/>
      <c r="T39" s="157"/>
      <c r="U39" s="157"/>
      <c r="V39" s="157"/>
    </row>
    <row r="40" spans="1:23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 t="s">
        <v>283</v>
      </c>
      <c r="P40" s="157" t="s">
        <v>242</v>
      </c>
      <c r="Q40" s="157"/>
      <c r="R40" s="157"/>
      <c r="S40" s="157"/>
      <c r="T40" s="157"/>
      <c r="U40" s="157"/>
      <c r="V40" s="157"/>
    </row>
    <row r="41" spans="1:23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 t="s">
        <v>264</v>
      </c>
      <c r="P41" s="157"/>
      <c r="Q41" s="157"/>
      <c r="R41" s="157"/>
      <c r="S41" s="157"/>
      <c r="T41" s="157"/>
      <c r="U41" s="157"/>
      <c r="V41" s="157"/>
    </row>
    <row r="42" spans="1:23" x14ac:dyDescent="0.35">
      <c r="A42" s="225" t="s">
        <v>167</v>
      </c>
      <c r="B42" s="225"/>
      <c r="C42" s="225">
        <f>IFERROR(C39-C38,"")</f>
        <v>0</v>
      </c>
      <c r="D42" s="225">
        <f t="shared" ref="D42:W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1128</v>
      </c>
      <c r="P42" s="225">
        <f t="shared" si="7"/>
        <v>5024</v>
      </c>
      <c r="Q42" s="225">
        <f t="shared" si="7"/>
        <v>0</v>
      </c>
      <c r="R42" s="225">
        <f t="shared" si="7"/>
        <v>0</v>
      </c>
      <c r="S42" s="225">
        <f t="shared" si="7"/>
        <v>0</v>
      </c>
      <c r="T42" s="225">
        <f t="shared" si="7"/>
        <v>0</v>
      </c>
      <c r="U42" s="225">
        <f t="shared" si="7"/>
        <v>0</v>
      </c>
      <c r="V42" s="225">
        <f t="shared" si="7"/>
        <v>0</v>
      </c>
      <c r="W42" s="225">
        <f t="shared" si="7"/>
        <v>0</v>
      </c>
    </row>
    <row r="43" spans="1:23" ht="16.399999999999999" customHeight="1" x14ac:dyDescent="0.35">
      <c r="A43" s="65" t="s">
        <v>2</v>
      </c>
      <c r="B43" s="65"/>
      <c r="C43" s="65">
        <f>AVERAGE(C35,C42,C28,C21,C14)</f>
        <v>3739</v>
      </c>
      <c r="D43" s="65">
        <f t="shared" ref="D43:W43" si="8">AVERAGE(D35,D42,D28,D21,D14)</f>
        <v>0</v>
      </c>
      <c r="E43" s="65">
        <f t="shared" si="8"/>
        <v>6145.2</v>
      </c>
      <c r="F43" s="65">
        <f t="shared" si="8"/>
        <v>6145.2</v>
      </c>
      <c r="G43" s="65">
        <f t="shared" si="8"/>
        <v>0</v>
      </c>
      <c r="H43" s="65">
        <f t="shared" si="8"/>
        <v>0</v>
      </c>
      <c r="I43" s="65">
        <f t="shared" si="8"/>
        <v>7881.8</v>
      </c>
      <c r="J43" s="65">
        <f t="shared" si="8"/>
        <v>0</v>
      </c>
      <c r="K43" s="65">
        <f t="shared" si="8"/>
        <v>6145.2</v>
      </c>
      <c r="L43" s="65">
        <f t="shared" si="8"/>
        <v>0</v>
      </c>
      <c r="M43" s="65">
        <f t="shared" si="8"/>
        <v>5806</v>
      </c>
      <c r="N43" s="65">
        <f t="shared" si="8"/>
        <v>7881.8</v>
      </c>
      <c r="O43" s="65">
        <f t="shared" si="8"/>
        <v>5460.4</v>
      </c>
      <c r="P43" s="65">
        <f t="shared" si="8"/>
        <v>7150</v>
      </c>
      <c r="Q43" s="65">
        <f t="shared" si="8"/>
        <v>0</v>
      </c>
      <c r="R43" s="65">
        <f t="shared" si="8"/>
        <v>5806</v>
      </c>
      <c r="S43" s="65">
        <f t="shared" si="8"/>
        <v>6145.2</v>
      </c>
      <c r="T43" s="65">
        <f t="shared" si="8"/>
        <v>5806</v>
      </c>
      <c r="U43" s="65">
        <f t="shared" si="8"/>
        <v>0</v>
      </c>
      <c r="V43" s="65">
        <f t="shared" si="8"/>
        <v>6145.2</v>
      </c>
      <c r="W43" s="65">
        <f t="shared" si="8"/>
        <v>0</v>
      </c>
    </row>
    <row r="44" spans="1:23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 t="s">
        <v>283</v>
      </c>
      <c r="P44" s="154" t="s">
        <v>242</v>
      </c>
      <c r="Q44" s="154"/>
      <c r="R44" s="154"/>
      <c r="S44" s="154"/>
      <c r="T44" s="154"/>
      <c r="U44" s="154"/>
      <c r="V44" s="154"/>
    </row>
    <row r="45" spans="1:23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>
        <v>27302</v>
      </c>
      <c r="P45" s="157">
        <v>35750</v>
      </c>
      <c r="Q45" s="157"/>
      <c r="R45" s="157"/>
      <c r="S45" s="157"/>
      <c r="T45" s="157"/>
      <c r="U45" s="157"/>
      <c r="V45" s="157"/>
    </row>
    <row r="46" spans="1:23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>
        <v>29030</v>
      </c>
      <c r="P46" s="157">
        <v>39409</v>
      </c>
      <c r="Q46" s="157"/>
      <c r="R46" s="157"/>
      <c r="S46" s="157"/>
      <c r="T46" s="157"/>
      <c r="U46" s="157"/>
      <c r="V46" s="157"/>
    </row>
    <row r="47" spans="1:23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 t="s">
        <v>280</v>
      </c>
      <c r="P47" s="157" t="s">
        <v>251</v>
      </c>
      <c r="Q47" s="157"/>
      <c r="R47" s="157"/>
      <c r="S47" s="157"/>
      <c r="T47" s="157"/>
      <c r="U47" s="157"/>
      <c r="V47" s="157"/>
    </row>
    <row r="48" spans="1:23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 t="s">
        <v>264</v>
      </c>
      <c r="P48" s="157"/>
      <c r="Q48" s="157"/>
      <c r="R48" s="157"/>
      <c r="S48" s="157"/>
      <c r="T48" s="157"/>
      <c r="U48" s="157"/>
      <c r="V48" s="157"/>
    </row>
    <row r="49" spans="1:23" x14ac:dyDescent="0.35">
      <c r="A49" s="225" t="s">
        <v>167</v>
      </c>
      <c r="B49" s="225"/>
      <c r="C49" s="225">
        <f>IFERROR(C46-C45,"")</f>
        <v>0</v>
      </c>
      <c r="D49" s="225">
        <f t="shared" ref="D49:W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1728</v>
      </c>
      <c r="P49" s="225">
        <f t="shared" si="9"/>
        <v>3659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  <c r="V49" s="225">
        <f t="shared" si="9"/>
        <v>0</v>
      </c>
      <c r="W49" s="225">
        <f t="shared" si="9"/>
        <v>0</v>
      </c>
    </row>
    <row r="50" spans="1:23" ht="16.399999999999999" customHeight="1" x14ac:dyDescent="0.35">
      <c r="A50" s="65" t="s">
        <v>2</v>
      </c>
      <c r="B50" s="65"/>
      <c r="C50" s="65">
        <f>AVERAGE(C42,C49,C35,C28,C21,C14)</f>
        <v>3115.8333333333335</v>
      </c>
      <c r="D50" s="65">
        <f t="shared" ref="D50:W50" si="10">AVERAGE(D42,D49,D35,D28,D21,D14)</f>
        <v>0</v>
      </c>
      <c r="E50" s="65">
        <f t="shared" si="10"/>
        <v>5121</v>
      </c>
      <c r="F50" s="65">
        <f t="shared" si="10"/>
        <v>5121</v>
      </c>
      <c r="G50" s="65">
        <f t="shared" si="10"/>
        <v>0</v>
      </c>
      <c r="H50" s="65">
        <f t="shared" si="10"/>
        <v>0</v>
      </c>
      <c r="I50" s="65">
        <f t="shared" si="10"/>
        <v>6568.166666666667</v>
      </c>
      <c r="J50" s="65">
        <f t="shared" si="10"/>
        <v>0</v>
      </c>
      <c r="K50" s="65">
        <f t="shared" si="10"/>
        <v>5121</v>
      </c>
      <c r="L50" s="65">
        <f t="shared" si="10"/>
        <v>0</v>
      </c>
      <c r="M50" s="65">
        <f t="shared" si="10"/>
        <v>4838.333333333333</v>
      </c>
      <c r="N50" s="65">
        <f t="shared" si="10"/>
        <v>6568.166666666667</v>
      </c>
      <c r="O50" s="65">
        <f t="shared" si="10"/>
        <v>4838.333333333333</v>
      </c>
      <c r="P50" s="65">
        <f t="shared" si="10"/>
        <v>6568.166666666667</v>
      </c>
      <c r="Q50" s="65">
        <f t="shared" si="10"/>
        <v>0</v>
      </c>
      <c r="R50" s="65">
        <f t="shared" si="10"/>
        <v>4838.333333333333</v>
      </c>
      <c r="S50" s="65">
        <f t="shared" si="10"/>
        <v>5121</v>
      </c>
      <c r="T50" s="65">
        <f t="shared" si="10"/>
        <v>4838.333333333333</v>
      </c>
      <c r="U50" s="65">
        <f t="shared" si="10"/>
        <v>0</v>
      </c>
      <c r="V50" s="65">
        <f t="shared" si="10"/>
        <v>5121</v>
      </c>
      <c r="W50" s="65">
        <f t="shared" si="10"/>
        <v>0</v>
      </c>
    </row>
    <row r="51" spans="1:23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 t="s">
        <v>280</v>
      </c>
      <c r="P51" s="154"/>
      <c r="Q51" s="154"/>
      <c r="R51" s="154"/>
      <c r="S51" s="154"/>
      <c r="T51" s="154"/>
      <c r="U51" s="154"/>
      <c r="V51" s="154"/>
    </row>
    <row r="52" spans="1:23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>
        <v>29030</v>
      </c>
      <c r="P52" s="157"/>
      <c r="Q52" s="157"/>
      <c r="R52" s="157"/>
      <c r="S52" s="157"/>
      <c r="T52" s="157"/>
      <c r="U52" s="157"/>
      <c r="V52" s="157"/>
    </row>
    <row r="53" spans="1:23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>
        <v>30726</v>
      </c>
      <c r="P53" s="157"/>
      <c r="Q53" s="157"/>
      <c r="R53" s="157"/>
      <c r="S53" s="157"/>
      <c r="T53" s="157"/>
      <c r="U53" s="157"/>
      <c r="V53" s="157"/>
    </row>
    <row r="54" spans="1:23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 t="s">
        <v>281</v>
      </c>
      <c r="P54" s="157"/>
      <c r="Q54" s="157"/>
      <c r="R54" s="157"/>
      <c r="S54" s="157"/>
      <c r="T54" s="157"/>
      <c r="U54" s="157"/>
      <c r="V54" s="157"/>
    </row>
    <row r="55" spans="1:23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 t="s">
        <v>264</v>
      </c>
      <c r="P55" s="157"/>
      <c r="Q55" s="157"/>
      <c r="R55" s="157"/>
      <c r="S55" s="157"/>
      <c r="T55" s="157"/>
      <c r="U55" s="157"/>
      <c r="V55" s="157"/>
    </row>
    <row r="56" spans="1:23" x14ac:dyDescent="0.35">
      <c r="A56" s="225" t="s">
        <v>167</v>
      </c>
      <c r="B56" s="225"/>
      <c r="C56" s="225">
        <f>IFERROR(C53-C52,"")</f>
        <v>0</v>
      </c>
      <c r="D56" s="225">
        <f t="shared" ref="D56:W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1696</v>
      </c>
      <c r="P56" s="225">
        <f t="shared" si="11"/>
        <v>0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  <c r="V56" s="225">
        <f t="shared" si="11"/>
        <v>0</v>
      </c>
      <c r="W56" s="225">
        <f t="shared" si="11"/>
        <v>0</v>
      </c>
    </row>
    <row r="57" spans="1:23" ht="16.399999999999999" customHeight="1" x14ac:dyDescent="0.35">
      <c r="A57" s="65" t="s">
        <v>2</v>
      </c>
      <c r="B57" s="65"/>
      <c r="C57" s="65">
        <f>AVERAGE(C49,C56,C42,C35,C28,C21,C14)</f>
        <v>2670.7142857142858</v>
      </c>
      <c r="D57" s="65">
        <f t="shared" ref="D57:W57" si="12">AVERAGE(D49,D56,D42,D35,D28,D21,D14)</f>
        <v>0</v>
      </c>
      <c r="E57" s="65">
        <f t="shared" si="12"/>
        <v>4389.4285714285716</v>
      </c>
      <c r="F57" s="65">
        <f t="shared" si="12"/>
        <v>4389.4285714285716</v>
      </c>
      <c r="G57" s="65">
        <f t="shared" si="12"/>
        <v>0</v>
      </c>
      <c r="H57" s="65">
        <f t="shared" si="12"/>
        <v>0</v>
      </c>
      <c r="I57" s="65">
        <f t="shared" si="12"/>
        <v>5629.8571428571431</v>
      </c>
      <c r="J57" s="65">
        <f t="shared" si="12"/>
        <v>0</v>
      </c>
      <c r="K57" s="65">
        <f t="shared" si="12"/>
        <v>4389.4285714285716</v>
      </c>
      <c r="L57" s="65">
        <f t="shared" si="12"/>
        <v>0</v>
      </c>
      <c r="M57" s="65">
        <f t="shared" si="12"/>
        <v>4147.1428571428569</v>
      </c>
      <c r="N57" s="65">
        <f t="shared" si="12"/>
        <v>5629.8571428571431</v>
      </c>
      <c r="O57" s="65">
        <f t="shared" si="12"/>
        <v>4389.4285714285716</v>
      </c>
      <c r="P57" s="65">
        <f t="shared" si="12"/>
        <v>5629.8571428571431</v>
      </c>
      <c r="Q57" s="65">
        <f t="shared" si="12"/>
        <v>0</v>
      </c>
      <c r="R57" s="65">
        <f t="shared" si="12"/>
        <v>4147.1428571428569</v>
      </c>
      <c r="S57" s="65">
        <f t="shared" si="12"/>
        <v>4389.4285714285716</v>
      </c>
      <c r="T57" s="65">
        <f t="shared" si="12"/>
        <v>4147.1428571428569</v>
      </c>
      <c r="U57" s="65">
        <f t="shared" si="12"/>
        <v>0</v>
      </c>
      <c r="V57" s="65">
        <f t="shared" si="12"/>
        <v>4389.4285714285716</v>
      </c>
      <c r="W57" s="65">
        <f t="shared" si="12"/>
        <v>0</v>
      </c>
    </row>
    <row r="58" spans="1:23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 t="s">
        <v>281</v>
      </c>
      <c r="P58" s="154"/>
      <c r="Q58" s="154"/>
      <c r="R58" s="154"/>
      <c r="S58" s="154"/>
      <c r="T58" s="154"/>
      <c r="U58" s="154"/>
      <c r="V58" s="154"/>
    </row>
    <row r="59" spans="1:23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>
        <v>30726</v>
      </c>
      <c r="P59" s="157"/>
      <c r="Q59" s="157"/>
      <c r="R59" s="157"/>
      <c r="S59" s="157"/>
      <c r="T59" s="157"/>
      <c r="U59" s="157"/>
      <c r="V59" s="157"/>
    </row>
    <row r="60" spans="1:23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>
        <v>35750</v>
      </c>
      <c r="P60" s="157"/>
      <c r="Q60" s="157"/>
      <c r="R60" s="157"/>
      <c r="S60" s="157"/>
      <c r="T60" s="157"/>
      <c r="U60" s="157"/>
      <c r="V60" s="157"/>
    </row>
    <row r="61" spans="1:23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 t="s">
        <v>242</v>
      </c>
      <c r="P61" s="157"/>
      <c r="Q61" s="157"/>
      <c r="R61" s="157"/>
      <c r="S61" s="157"/>
      <c r="T61" s="157"/>
      <c r="U61" s="157"/>
      <c r="V61" s="157"/>
    </row>
    <row r="62" spans="1:23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</row>
    <row r="63" spans="1:23" x14ac:dyDescent="0.35">
      <c r="A63" s="225" t="s">
        <v>167</v>
      </c>
      <c r="B63" s="225"/>
      <c r="C63" s="225">
        <f>IFERROR(C60-C59,"")</f>
        <v>0</v>
      </c>
      <c r="D63" s="225">
        <f t="shared" ref="D63:W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5024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  <c r="V63" s="225">
        <f t="shared" si="13"/>
        <v>0</v>
      </c>
      <c r="W63" s="225">
        <f t="shared" si="13"/>
        <v>0</v>
      </c>
    </row>
    <row r="64" spans="1:23" ht="16.399999999999999" customHeight="1" x14ac:dyDescent="0.35">
      <c r="A64" s="65" t="s">
        <v>2</v>
      </c>
      <c r="B64" s="65"/>
      <c r="C64" s="65">
        <f>AVERAGE(C56,C63,C49,C42,C35,C28,C21,C14)</f>
        <v>2336.875</v>
      </c>
      <c r="D64" s="65">
        <f t="shared" ref="D64:W64" si="14">AVERAGE(D56,D63,D49,D42,D35,D28,D21,D14)</f>
        <v>0</v>
      </c>
      <c r="E64" s="65">
        <f t="shared" si="14"/>
        <v>3840.75</v>
      </c>
      <c r="F64" s="65">
        <f t="shared" si="14"/>
        <v>3840.75</v>
      </c>
      <c r="G64" s="65">
        <f t="shared" si="14"/>
        <v>0</v>
      </c>
      <c r="H64" s="65">
        <f t="shared" si="14"/>
        <v>0</v>
      </c>
      <c r="I64" s="65">
        <f t="shared" si="14"/>
        <v>4926.125</v>
      </c>
      <c r="J64" s="65">
        <f t="shared" si="14"/>
        <v>0</v>
      </c>
      <c r="K64" s="65">
        <f t="shared" si="14"/>
        <v>3840.75</v>
      </c>
      <c r="L64" s="65">
        <f t="shared" si="14"/>
        <v>0</v>
      </c>
      <c r="M64" s="65">
        <f t="shared" si="14"/>
        <v>3628.75</v>
      </c>
      <c r="N64" s="65">
        <f t="shared" si="14"/>
        <v>4926.125</v>
      </c>
      <c r="O64" s="65">
        <f t="shared" si="14"/>
        <v>4468.75</v>
      </c>
      <c r="P64" s="65">
        <f t="shared" si="14"/>
        <v>4926.125</v>
      </c>
      <c r="Q64" s="65">
        <f t="shared" si="14"/>
        <v>0</v>
      </c>
      <c r="R64" s="65">
        <f t="shared" si="14"/>
        <v>3628.75</v>
      </c>
      <c r="S64" s="65">
        <f t="shared" si="14"/>
        <v>3840.75</v>
      </c>
      <c r="T64" s="65">
        <f t="shared" si="14"/>
        <v>3628.75</v>
      </c>
      <c r="U64" s="65">
        <f t="shared" si="14"/>
        <v>0</v>
      </c>
      <c r="V64" s="65">
        <f t="shared" si="14"/>
        <v>3840.75</v>
      </c>
      <c r="W64" s="65">
        <f t="shared" si="14"/>
        <v>0</v>
      </c>
    </row>
    <row r="65" spans="1:22" x14ac:dyDescent="0.35">
      <c r="A65" s="150" t="s">
        <v>159</v>
      </c>
      <c r="B65" s="151"/>
      <c r="C65" s="163"/>
      <c r="D65" s="154"/>
      <c r="E65" s="154"/>
      <c r="F65" s="154"/>
      <c r="G65" s="154"/>
      <c r="H65" s="154"/>
      <c r="I65" s="154"/>
      <c r="J65" s="152"/>
      <c r="K65" s="154"/>
      <c r="L65" s="154"/>
      <c r="M65" s="154"/>
      <c r="N65" s="152"/>
      <c r="O65" s="152" t="s">
        <v>242</v>
      </c>
      <c r="P65" s="154"/>
      <c r="Q65" s="154"/>
      <c r="R65" s="154"/>
      <c r="S65" s="154"/>
      <c r="T65" s="154"/>
      <c r="U65" s="154"/>
      <c r="V65" s="154"/>
    </row>
    <row r="66" spans="1:22" x14ac:dyDescent="0.35">
      <c r="A66" s="155" t="s">
        <v>161</v>
      </c>
      <c r="B66" s="156" t="s">
        <v>162</v>
      </c>
      <c r="C66" s="165"/>
      <c r="D66" s="157"/>
      <c r="E66" s="157"/>
      <c r="F66" s="157"/>
      <c r="G66" s="157"/>
      <c r="H66" s="157"/>
      <c r="I66" s="157"/>
      <c r="J66" s="157"/>
      <c r="K66" s="157"/>
      <c r="L66" s="157"/>
      <c r="M66" s="157"/>
      <c r="N66" s="157"/>
      <c r="O66" s="157">
        <v>30726</v>
      </c>
      <c r="P66" s="157"/>
      <c r="Q66" s="157"/>
      <c r="R66" s="157"/>
      <c r="S66" s="157"/>
      <c r="T66" s="157"/>
      <c r="U66" s="157"/>
      <c r="V66" s="157"/>
    </row>
    <row r="67" spans="1:22" x14ac:dyDescent="0.35">
      <c r="A67" s="155" t="s">
        <v>161</v>
      </c>
      <c r="B67" s="156" t="s">
        <v>163</v>
      </c>
      <c r="C67" s="165"/>
      <c r="D67" s="157"/>
      <c r="E67" s="157"/>
      <c r="F67" s="157"/>
      <c r="G67" s="157"/>
      <c r="H67" s="157"/>
      <c r="I67" s="157"/>
      <c r="J67" s="157"/>
      <c r="K67" s="157"/>
      <c r="L67" s="157"/>
      <c r="M67" s="157"/>
      <c r="N67" s="157"/>
      <c r="O67" s="157">
        <v>39409</v>
      </c>
      <c r="P67" s="157"/>
      <c r="Q67" s="157"/>
      <c r="R67" s="157"/>
      <c r="S67" s="157"/>
      <c r="T67" s="157"/>
      <c r="U67" s="157"/>
      <c r="V67" s="157"/>
    </row>
    <row r="68" spans="1:22" x14ac:dyDescent="0.35">
      <c r="A68" s="155" t="s">
        <v>164</v>
      </c>
      <c r="B68" s="156"/>
      <c r="C68" s="165"/>
      <c r="D68" s="157"/>
      <c r="E68" s="157"/>
      <c r="F68" s="157"/>
      <c r="G68" s="157"/>
      <c r="H68" s="157"/>
      <c r="I68" s="157"/>
      <c r="J68" s="166"/>
      <c r="K68" s="157"/>
      <c r="L68" s="157"/>
      <c r="M68" s="157"/>
      <c r="N68" s="157"/>
      <c r="O68" s="157" t="s">
        <v>251</v>
      </c>
      <c r="P68" s="157"/>
      <c r="Q68" s="157"/>
      <c r="R68" s="157"/>
      <c r="S68" s="157"/>
      <c r="T68" s="157"/>
      <c r="U68" s="157"/>
      <c r="V68" s="157"/>
    </row>
    <row r="69" spans="1:22" x14ac:dyDescent="0.35">
      <c r="A69" s="160" t="s">
        <v>165</v>
      </c>
      <c r="B69" s="167"/>
      <c r="C69" s="165"/>
      <c r="D69" s="157"/>
      <c r="E69" s="157"/>
      <c r="F69" s="157"/>
      <c r="G69" s="157"/>
      <c r="H69" s="157"/>
      <c r="I69" s="157"/>
      <c r="J69" s="157"/>
      <c r="K69" s="157"/>
      <c r="L69" s="157"/>
      <c r="M69" s="157"/>
      <c r="N69" s="157"/>
      <c r="O69" s="157"/>
      <c r="P69" s="157"/>
      <c r="Q69" s="157"/>
      <c r="R69" s="157"/>
      <c r="S69" s="157"/>
      <c r="T69" s="157"/>
      <c r="U69" s="157"/>
      <c r="V69" s="157"/>
    </row>
    <row r="70" spans="1:22" x14ac:dyDescent="0.35">
      <c r="A70" s="225" t="s">
        <v>167</v>
      </c>
      <c r="B70" s="225"/>
      <c r="C70" s="225">
        <f>IFERROR(C67-C66,"")</f>
        <v>0</v>
      </c>
      <c r="D70" s="225">
        <f t="shared" ref="D70:V70" si="15">IFERROR(D67-D66,"")</f>
        <v>0</v>
      </c>
      <c r="E70" s="225">
        <f t="shared" si="15"/>
        <v>0</v>
      </c>
      <c r="F70" s="225">
        <f t="shared" si="15"/>
        <v>0</v>
      </c>
      <c r="G70" s="225">
        <f t="shared" si="15"/>
        <v>0</v>
      </c>
      <c r="H70" s="225">
        <f t="shared" si="15"/>
        <v>0</v>
      </c>
      <c r="I70" s="225">
        <f t="shared" si="15"/>
        <v>0</v>
      </c>
      <c r="J70" s="225">
        <f t="shared" si="15"/>
        <v>0</v>
      </c>
      <c r="K70" s="225">
        <f t="shared" si="15"/>
        <v>0</v>
      </c>
      <c r="L70" s="225">
        <f t="shared" si="15"/>
        <v>0</v>
      </c>
      <c r="M70" s="225">
        <f t="shared" si="15"/>
        <v>0</v>
      </c>
      <c r="N70" s="225">
        <f t="shared" si="15"/>
        <v>0</v>
      </c>
      <c r="O70" s="225">
        <f t="shared" si="15"/>
        <v>8683</v>
      </c>
      <c r="P70" s="225">
        <f t="shared" si="15"/>
        <v>0</v>
      </c>
      <c r="Q70" s="225">
        <f t="shared" si="15"/>
        <v>0</v>
      </c>
      <c r="R70" s="225">
        <f t="shared" si="15"/>
        <v>0</v>
      </c>
      <c r="S70" s="225">
        <f t="shared" si="15"/>
        <v>0</v>
      </c>
      <c r="T70" s="225">
        <f t="shared" si="15"/>
        <v>0</v>
      </c>
      <c r="U70" s="225">
        <f t="shared" si="15"/>
        <v>0</v>
      </c>
      <c r="V70" s="225">
        <f t="shared" si="15"/>
        <v>0</v>
      </c>
    </row>
    <row r="71" spans="1:22" x14ac:dyDescent="0.35">
      <c r="A71" s="65" t="s">
        <v>2</v>
      </c>
      <c r="B71" s="65"/>
      <c r="C71" s="65">
        <f>AVERAGE(C63,C70,C56,C49,C42,C35,C28,C21,C14)</f>
        <v>2077.2222222222222</v>
      </c>
      <c r="D71" s="65">
        <f t="shared" ref="D71:T71" si="16">AVERAGE(D63,D70,D56,D49,D42,D35,D28,D21,D14)</f>
        <v>0</v>
      </c>
      <c r="E71" s="65">
        <f t="shared" si="16"/>
        <v>3414</v>
      </c>
      <c r="F71" s="65">
        <f t="shared" si="16"/>
        <v>3414</v>
      </c>
      <c r="G71" s="65">
        <f t="shared" si="16"/>
        <v>0</v>
      </c>
      <c r="H71" s="65">
        <f t="shared" si="16"/>
        <v>0</v>
      </c>
      <c r="I71" s="65">
        <f t="shared" si="16"/>
        <v>4378.7777777777774</v>
      </c>
      <c r="J71" s="65">
        <f t="shared" si="16"/>
        <v>0</v>
      </c>
      <c r="K71" s="65">
        <f t="shared" si="16"/>
        <v>3414</v>
      </c>
      <c r="L71" s="65">
        <f t="shared" si="16"/>
        <v>0</v>
      </c>
      <c r="M71" s="65">
        <f t="shared" si="16"/>
        <v>3225.5555555555557</v>
      </c>
      <c r="N71" s="65">
        <f t="shared" si="16"/>
        <v>4378.7777777777774</v>
      </c>
      <c r="O71" s="65">
        <f t="shared" si="16"/>
        <v>4937</v>
      </c>
      <c r="P71" s="65">
        <f t="shared" si="16"/>
        <v>4378.7777777777774</v>
      </c>
      <c r="Q71" s="65">
        <f t="shared" si="16"/>
        <v>0</v>
      </c>
      <c r="R71" s="65">
        <f t="shared" si="16"/>
        <v>3225.5555555555557</v>
      </c>
      <c r="S71" s="65">
        <f t="shared" si="16"/>
        <v>3414</v>
      </c>
      <c r="T71" s="65">
        <f t="shared" si="16"/>
        <v>3225.5555555555557</v>
      </c>
      <c r="U71" s="65">
        <f t="shared" ref="U71:V71" si="17">AVERAGE(U63,U70,U56,U49,U42,U35,U28,U21)</f>
        <v>0</v>
      </c>
      <c r="V71" s="65">
        <f t="shared" si="17"/>
        <v>1503.875</v>
      </c>
    </row>
  </sheetData>
  <sheetProtection algorithmName="SHA-512" hashValue="co4TAuQdJbZSHuHobmLnxMPNIw1ixvyjfUY3/cNY57iWvUB+XG2Q0Zdb1XasMC3NEWOU6wclHzMWH80gx8xxsg==" saltValue="vu+PnpgibhU69AyFTKJprA==" spinCount="100000" sheet="1" objects="1" scenarios="1"/>
  <autoFilter ref="A2:W64" xr:uid="{00000000-0009-0000-0000-000009000000}"/>
  <mergeCells count="2">
    <mergeCell ref="A7:B7"/>
    <mergeCell ref="A8:B8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U64"/>
  <sheetViews>
    <sheetView zoomScale="82" zoomScaleNormal="70" workbookViewId="0">
      <selection activeCell="F3" sqref="F3"/>
    </sheetView>
  </sheetViews>
  <sheetFormatPr defaultColWidth="8.81640625" defaultRowHeight="14.5" x14ac:dyDescent="0.35"/>
  <cols>
    <col min="1" max="1" width="16.81640625" style="1" bestFit="1" customWidth="1"/>
    <col min="2" max="2" width="20.81640625" style="1" bestFit="1" customWidth="1"/>
    <col min="3" max="5" width="16.81640625" style="1" bestFit="1" customWidth="1"/>
    <col min="6" max="6" width="18.1796875" style="1" customWidth="1"/>
    <col min="7" max="7" width="20" style="1" bestFit="1" customWidth="1"/>
    <col min="8" max="9" width="16.81640625" style="1" bestFit="1" customWidth="1"/>
    <col min="10" max="10" width="18.453125" style="190" bestFit="1" customWidth="1"/>
    <col min="11" max="11" width="18.453125" style="188" bestFit="1" customWidth="1"/>
    <col min="12" max="12" width="16.81640625" style="1" bestFit="1" customWidth="1"/>
    <col min="13" max="13" width="19.1796875" style="190" bestFit="1" customWidth="1"/>
    <col min="14" max="14" width="18.1796875" style="1" bestFit="1" customWidth="1"/>
    <col min="15" max="17" width="19.81640625" style="1" bestFit="1" customWidth="1"/>
    <col min="18" max="18" width="21.1796875" style="1" bestFit="1" customWidth="1"/>
    <col min="19" max="21" width="16.81640625" style="1" bestFit="1" customWidth="1"/>
    <col min="22" max="16384" width="8.81640625" style="1"/>
  </cols>
  <sheetData>
    <row r="1" spans="1:21" ht="24" thickBot="1" x14ac:dyDescent="0.4">
      <c r="A1" s="99"/>
    </row>
    <row r="2" spans="1:21" x14ac:dyDescent="0.35">
      <c r="E2" s="2" t="s">
        <v>195</v>
      </c>
      <c r="F2" s="3"/>
      <c r="G2" s="3" t="s">
        <v>104</v>
      </c>
      <c r="H2" s="3"/>
      <c r="I2" s="4"/>
    </row>
    <row r="3" spans="1:21" x14ac:dyDescent="0.35">
      <c r="E3" s="5"/>
      <c r="F3" s="6" t="s">
        <v>284</v>
      </c>
      <c r="G3" s="7"/>
      <c r="H3" s="6"/>
      <c r="I3" s="8"/>
    </row>
    <row r="4" spans="1:21" ht="15" thickBot="1" x14ac:dyDescent="0.4">
      <c r="A4" s="1" t="s">
        <v>168</v>
      </c>
      <c r="B4" s="1" t="s">
        <v>169</v>
      </c>
      <c r="E4" s="9"/>
      <c r="F4" s="10" t="s">
        <v>197</v>
      </c>
      <c r="G4" s="11"/>
      <c r="H4" s="10" t="s">
        <v>112</v>
      </c>
      <c r="I4" s="12"/>
    </row>
    <row r="5" spans="1:21" ht="30.65" customHeight="1" x14ac:dyDescent="0.35">
      <c r="A5" s="13" t="s">
        <v>36</v>
      </c>
      <c r="B5" s="1" t="s">
        <v>285</v>
      </c>
    </row>
    <row r="6" spans="1:21" ht="28.4" customHeight="1" x14ac:dyDescent="0.35">
      <c r="A6" s="14" t="s">
        <v>200</v>
      </c>
      <c r="B6" s="93"/>
      <c r="C6" s="52" t="s">
        <v>37</v>
      </c>
      <c r="D6" s="14" t="s">
        <v>38</v>
      </c>
      <c r="E6" s="52" t="s">
        <v>39</v>
      </c>
      <c r="F6" s="14" t="s">
        <v>40</v>
      </c>
      <c r="G6" s="15" t="s">
        <v>41</v>
      </c>
      <c r="H6" s="15" t="s">
        <v>42</v>
      </c>
      <c r="I6" s="15" t="s">
        <v>43</v>
      </c>
      <c r="J6" s="191" t="s">
        <v>44</v>
      </c>
      <c r="K6" s="15" t="s">
        <v>45</v>
      </c>
      <c r="L6" s="14" t="s">
        <v>46</v>
      </c>
      <c r="M6" s="193" t="s">
        <v>47</v>
      </c>
      <c r="N6" s="52" t="s">
        <v>48</v>
      </c>
      <c r="O6" s="14" t="s">
        <v>49</v>
      </c>
      <c r="P6" s="16" t="s">
        <v>50</v>
      </c>
      <c r="Q6" s="101" t="s">
        <v>51</v>
      </c>
      <c r="R6" s="14" t="s">
        <v>52</v>
      </c>
      <c r="S6" s="52" t="s">
        <v>53</v>
      </c>
      <c r="T6" s="14" t="s">
        <v>54</v>
      </c>
      <c r="U6" s="52" t="s">
        <v>55</v>
      </c>
    </row>
    <row r="7" spans="1:21" x14ac:dyDescent="0.35">
      <c r="A7" s="256" t="s">
        <v>137</v>
      </c>
      <c r="B7" s="256"/>
      <c r="C7" s="17" t="s">
        <v>286</v>
      </c>
      <c r="D7" s="17" t="s">
        <v>141</v>
      </c>
      <c r="E7" s="17" t="s">
        <v>287</v>
      </c>
      <c r="F7" s="17" t="s">
        <v>215</v>
      </c>
      <c r="G7" s="17" t="s">
        <v>142</v>
      </c>
      <c r="H7" s="17" t="s">
        <v>143</v>
      </c>
      <c r="I7" s="17" t="s">
        <v>288</v>
      </c>
      <c r="J7" s="17" t="s">
        <v>144</v>
      </c>
      <c r="K7" s="17" t="s">
        <v>145</v>
      </c>
      <c r="L7" s="17" t="s">
        <v>146</v>
      </c>
      <c r="M7" s="17" t="s">
        <v>147</v>
      </c>
      <c r="N7" s="17" t="s">
        <v>148</v>
      </c>
      <c r="O7" s="17" t="s">
        <v>149</v>
      </c>
      <c r="P7" s="17" t="s">
        <v>150</v>
      </c>
      <c r="Q7" s="17" t="s">
        <v>151</v>
      </c>
      <c r="R7" s="17" t="s">
        <v>153</v>
      </c>
      <c r="S7" s="17" t="s">
        <v>154</v>
      </c>
      <c r="T7" s="17" t="s">
        <v>155</v>
      </c>
      <c r="U7" s="17" t="s">
        <v>289</v>
      </c>
    </row>
    <row r="8" spans="1:21" x14ac:dyDescent="0.35">
      <c r="A8" s="257" t="s">
        <v>158</v>
      </c>
      <c r="B8" s="257"/>
      <c r="C8" s="19">
        <v>1</v>
      </c>
      <c r="D8" s="20">
        <v>1</v>
      </c>
      <c r="E8" s="19">
        <v>1</v>
      </c>
      <c r="F8" s="19">
        <v>1</v>
      </c>
      <c r="G8" s="19">
        <v>1</v>
      </c>
      <c r="H8" s="19">
        <v>2</v>
      </c>
      <c r="I8" s="19">
        <v>1</v>
      </c>
      <c r="J8" s="20">
        <v>1</v>
      </c>
      <c r="K8" s="19">
        <v>2</v>
      </c>
      <c r="L8" s="19">
        <v>1</v>
      </c>
      <c r="M8" s="20">
        <v>1</v>
      </c>
      <c r="N8" s="19">
        <v>1</v>
      </c>
      <c r="O8" s="19">
        <v>1</v>
      </c>
      <c r="P8" s="19">
        <v>1</v>
      </c>
      <c r="Q8" s="19">
        <v>1</v>
      </c>
      <c r="R8" s="19">
        <v>1</v>
      </c>
      <c r="S8" s="19">
        <v>1</v>
      </c>
      <c r="T8" s="19">
        <v>6</v>
      </c>
      <c r="U8" s="19">
        <v>1</v>
      </c>
    </row>
    <row r="9" spans="1:21" x14ac:dyDescent="0.35">
      <c r="A9" s="21" t="s">
        <v>159</v>
      </c>
      <c r="B9" s="22"/>
      <c r="C9" s="24"/>
      <c r="D9" s="24"/>
      <c r="E9" s="24"/>
      <c r="F9" s="24"/>
      <c r="G9" s="24"/>
      <c r="H9" s="24"/>
      <c r="I9" s="228"/>
      <c r="J9" s="221" t="s">
        <v>225</v>
      </c>
      <c r="K9" s="229" t="s">
        <v>225</v>
      </c>
      <c r="L9" s="228" t="s">
        <v>225</v>
      </c>
      <c r="M9" s="221" t="s">
        <v>225</v>
      </c>
      <c r="N9" s="24"/>
      <c r="O9" s="23" t="s">
        <v>225</v>
      </c>
      <c r="P9" s="23" t="s">
        <v>225</v>
      </c>
      <c r="Q9" s="23" t="s">
        <v>225</v>
      </c>
      <c r="R9" s="24"/>
      <c r="S9" s="23" t="s">
        <v>225</v>
      </c>
      <c r="T9" s="24"/>
      <c r="U9" s="24"/>
    </row>
    <row r="10" spans="1:21" x14ac:dyDescent="0.35">
      <c r="A10" s="26" t="s">
        <v>161</v>
      </c>
      <c r="B10" s="27" t="s">
        <v>162</v>
      </c>
      <c r="C10" s="28"/>
      <c r="D10" s="28"/>
      <c r="E10" s="28"/>
      <c r="F10" s="28"/>
      <c r="G10" s="28"/>
      <c r="H10" s="28"/>
      <c r="I10" s="28"/>
      <c r="J10" s="59">
        <v>0</v>
      </c>
      <c r="K10" s="29">
        <v>0</v>
      </c>
      <c r="L10" s="28">
        <v>0</v>
      </c>
      <c r="M10" s="59">
        <v>0</v>
      </c>
      <c r="N10" s="28"/>
      <c r="O10" s="29">
        <v>0</v>
      </c>
      <c r="P10" s="29">
        <v>0</v>
      </c>
      <c r="Q10" s="29">
        <v>0</v>
      </c>
      <c r="R10" s="28"/>
      <c r="S10" s="29">
        <v>0</v>
      </c>
      <c r="T10" s="28"/>
      <c r="U10" s="28"/>
    </row>
    <row r="11" spans="1:21" x14ac:dyDescent="0.35">
      <c r="A11" s="26" t="s">
        <v>161</v>
      </c>
      <c r="B11" s="27" t="s">
        <v>163</v>
      </c>
      <c r="C11" s="28">
        <v>40509</v>
      </c>
      <c r="D11" s="28"/>
      <c r="E11" s="28"/>
      <c r="F11" s="28"/>
      <c r="G11" s="28"/>
      <c r="H11" s="28"/>
      <c r="I11" s="28"/>
      <c r="J11" s="59">
        <v>31050</v>
      </c>
      <c r="K11" s="29">
        <v>31050</v>
      </c>
      <c r="L11" s="28">
        <v>31050</v>
      </c>
      <c r="M11" s="59">
        <v>10400</v>
      </c>
      <c r="N11" s="28"/>
      <c r="O11" s="29">
        <v>19463</v>
      </c>
      <c r="P11" s="29">
        <v>10400</v>
      </c>
      <c r="Q11" s="29">
        <v>10400</v>
      </c>
      <c r="R11" s="28"/>
      <c r="S11" s="29">
        <v>19463</v>
      </c>
      <c r="T11" s="28"/>
      <c r="U11" s="28"/>
    </row>
    <row r="12" spans="1:21" x14ac:dyDescent="0.35">
      <c r="A12" s="26" t="s">
        <v>164</v>
      </c>
      <c r="B12" s="27"/>
      <c r="C12" s="28" t="s">
        <v>251</v>
      </c>
      <c r="D12" s="28"/>
      <c r="E12" s="28"/>
      <c r="F12" s="28"/>
      <c r="G12" s="28"/>
      <c r="H12" s="28"/>
      <c r="I12" s="39"/>
      <c r="J12" s="77">
        <v>44097</v>
      </c>
      <c r="K12" s="192">
        <v>44097</v>
      </c>
      <c r="L12" s="189">
        <v>44097</v>
      </c>
      <c r="M12" s="58">
        <v>43110</v>
      </c>
      <c r="N12" s="28"/>
      <c r="O12" s="30">
        <v>43498</v>
      </c>
      <c r="P12" s="30">
        <v>43110</v>
      </c>
      <c r="Q12" s="30">
        <v>43110</v>
      </c>
      <c r="R12" s="28"/>
      <c r="S12" s="30">
        <v>43498</v>
      </c>
      <c r="T12" s="28"/>
      <c r="U12" s="28"/>
    </row>
    <row r="13" spans="1:21" ht="29" x14ac:dyDescent="0.35">
      <c r="A13" s="32" t="s">
        <v>165</v>
      </c>
      <c r="B13" s="33"/>
      <c r="C13" s="28"/>
      <c r="D13" s="28"/>
      <c r="E13" s="28"/>
      <c r="F13" s="28"/>
      <c r="G13" s="28"/>
      <c r="H13" s="28"/>
      <c r="I13" s="28"/>
      <c r="J13" s="59" t="s">
        <v>290</v>
      </c>
      <c r="K13" s="29" t="s">
        <v>290</v>
      </c>
      <c r="L13" s="28" t="s">
        <v>290</v>
      </c>
      <c r="M13" s="34" t="s">
        <v>166</v>
      </c>
      <c r="N13" s="28"/>
      <c r="O13" s="34" t="s">
        <v>166</v>
      </c>
      <c r="P13" s="34" t="s">
        <v>166</v>
      </c>
      <c r="Q13" s="34" t="s">
        <v>166</v>
      </c>
      <c r="R13" s="28"/>
      <c r="S13" s="34" t="s">
        <v>166</v>
      </c>
      <c r="T13" s="28"/>
      <c r="U13" s="28"/>
    </row>
    <row r="14" spans="1:21" x14ac:dyDescent="0.35">
      <c r="A14" s="225" t="s">
        <v>167</v>
      </c>
      <c r="B14" s="63"/>
      <c r="C14" s="105">
        <f>IFERROR(C11-C10,"")</f>
        <v>40509</v>
      </c>
      <c r="D14" s="105">
        <f t="shared" ref="D14:U14" si="0">IFERROR(D11-D10,"")</f>
        <v>0</v>
      </c>
      <c r="E14" s="105">
        <f t="shared" si="0"/>
        <v>0</v>
      </c>
      <c r="F14" s="105">
        <f t="shared" si="0"/>
        <v>0</v>
      </c>
      <c r="G14" s="105">
        <f t="shared" si="0"/>
        <v>0</v>
      </c>
      <c r="H14" s="105">
        <f t="shared" si="0"/>
        <v>0</v>
      </c>
      <c r="I14" s="105">
        <f t="shared" si="0"/>
        <v>0</v>
      </c>
      <c r="J14" s="105">
        <f t="shared" si="0"/>
        <v>31050</v>
      </c>
      <c r="K14" s="105">
        <f t="shared" si="0"/>
        <v>31050</v>
      </c>
      <c r="L14" s="105">
        <f t="shared" si="0"/>
        <v>31050</v>
      </c>
      <c r="M14" s="105">
        <f t="shared" si="0"/>
        <v>10400</v>
      </c>
      <c r="N14" s="105">
        <f t="shared" si="0"/>
        <v>0</v>
      </c>
      <c r="O14" s="105">
        <f t="shared" si="0"/>
        <v>19463</v>
      </c>
      <c r="P14" s="105">
        <f t="shared" si="0"/>
        <v>10400</v>
      </c>
      <c r="Q14" s="105">
        <f t="shared" si="0"/>
        <v>10400</v>
      </c>
      <c r="R14" s="105">
        <f t="shared" si="0"/>
        <v>0</v>
      </c>
      <c r="S14" s="105">
        <f t="shared" si="0"/>
        <v>19463</v>
      </c>
      <c r="T14" s="105">
        <f t="shared" si="0"/>
        <v>0</v>
      </c>
      <c r="U14" s="105">
        <f t="shared" si="0"/>
        <v>0</v>
      </c>
    </row>
    <row r="15" spans="1:21" ht="16.399999999999999" customHeight="1" x14ac:dyDescent="0.35">
      <c r="A15" s="65" t="s">
        <v>2</v>
      </c>
      <c r="B15" s="66"/>
      <c r="C15" s="103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3"/>
      <c r="P15" s="103"/>
      <c r="Q15" s="104"/>
      <c r="R15" s="104"/>
      <c r="S15" s="104"/>
      <c r="T15" s="104"/>
      <c r="U15" s="104"/>
    </row>
    <row r="16" spans="1:21" x14ac:dyDescent="0.35">
      <c r="A16" s="21" t="s">
        <v>159</v>
      </c>
      <c r="B16" s="22"/>
      <c r="C16" s="35"/>
      <c r="D16" s="25"/>
      <c r="E16" s="25"/>
      <c r="F16" s="25"/>
      <c r="G16" s="25"/>
      <c r="H16" s="25"/>
      <c r="I16" s="25"/>
      <c r="J16" s="77"/>
      <c r="K16" s="29"/>
      <c r="L16" s="25"/>
      <c r="M16" s="77">
        <v>43110</v>
      </c>
      <c r="N16" s="24"/>
      <c r="O16" s="24">
        <v>43498</v>
      </c>
      <c r="P16" s="24">
        <v>43110</v>
      </c>
      <c r="Q16" s="24">
        <v>43110</v>
      </c>
      <c r="R16" s="25"/>
      <c r="S16" s="24">
        <v>43498</v>
      </c>
      <c r="T16" s="25"/>
      <c r="U16" s="25"/>
    </row>
    <row r="17" spans="1:21" x14ac:dyDescent="0.35">
      <c r="A17" s="26" t="s">
        <v>161</v>
      </c>
      <c r="B17" s="27" t="s">
        <v>162</v>
      </c>
      <c r="C17" s="36"/>
      <c r="D17" s="28"/>
      <c r="E17" s="28"/>
      <c r="F17" s="28"/>
      <c r="G17" s="28"/>
      <c r="H17" s="28"/>
      <c r="I17" s="28"/>
      <c r="J17" s="59"/>
      <c r="K17" s="29"/>
      <c r="L17" s="28"/>
      <c r="M17" s="59">
        <v>10400</v>
      </c>
      <c r="N17" s="28"/>
      <c r="O17" s="28">
        <v>19463</v>
      </c>
      <c r="P17" s="28">
        <v>10400</v>
      </c>
      <c r="Q17" s="28">
        <v>10400</v>
      </c>
      <c r="R17" s="28"/>
      <c r="S17" s="28">
        <v>19463</v>
      </c>
      <c r="T17" s="28"/>
      <c r="U17" s="28"/>
    </row>
    <row r="18" spans="1:21" x14ac:dyDescent="0.35">
      <c r="A18" s="26" t="s">
        <v>161</v>
      </c>
      <c r="B18" s="27" t="s">
        <v>163</v>
      </c>
      <c r="C18" s="36"/>
      <c r="D18" s="28"/>
      <c r="E18" s="28"/>
      <c r="F18" s="28"/>
      <c r="G18" s="28"/>
      <c r="H18" s="28"/>
      <c r="I18" s="28"/>
      <c r="J18" s="59"/>
      <c r="K18" s="29"/>
      <c r="L18" s="28"/>
      <c r="M18" s="59">
        <v>31050</v>
      </c>
      <c r="N18" s="28"/>
      <c r="O18" s="28">
        <v>31050</v>
      </c>
      <c r="P18" s="28">
        <v>31050</v>
      </c>
      <c r="Q18" s="28">
        <v>31050</v>
      </c>
      <c r="R18" s="28"/>
      <c r="S18" s="28">
        <v>31050</v>
      </c>
      <c r="T18" s="28"/>
      <c r="U18" s="28"/>
    </row>
    <row r="19" spans="1:21" x14ac:dyDescent="0.35">
      <c r="A19" s="26" t="s">
        <v>164</v>
      </c>
      <c r="B19" s="27"/>
      <c r="C19" s="36"/>
      <c r="D19" s="28"/>
      <c r="E19" s="28"/>
      <c r="F19" s="28"/>
      <c r="G19" s="28"/>
      <c r="H19" s="28"/>
      <c r="I19" s="28"/>
      <c r="J19" s="77"/>
      <c r="K19" s="29"/>
      <c r="L19" s="28"/>
      <c r="M19" s="59" t="s">
        <v>263</v>
      </c>
      <c r="N19" s="28"/>
      <c r="O19" s="28" t="s">
        <v>263</v>
      </c>
      <c r="P19" s="28" t="s">
        <v>263</v>
      </c>
      <c r="Q19" s="28" t="s">
        <v>263</v>
      </c>
      <c r="R19" s="28"/>
      <c r="S19" s="28" t="s">
        <v>263</v>
      </c>
      <c r="T19" s="28"/>
      <c r="U19" s="28"/>
    </row>
    <row r="20" spans="1:21" x14ac:dyDescent="0.35">
      <c r="A20" s="32" t="s">
        <v>165</v>
      </c>
      <c r="B20" s="37"/>
      <c r="C20" s="36"/>
      <c r="D20" s="28"/>
      <c r="E20" s="28"/>
      <c r="F20" s="28"/>
      <c r="G20" s="28"/>
      <c r="H20" s="28"/>
      <c r="I20" s="28"/>
      <c r="J20" s="59"/>
      <c r="K20" s="29"/>
      <c r="L20" s="28"/>
      <c r="M20" s="59" t="s">
        <v>290</v>
      </c>
      <c r="N20" s="28"/>
      <c r="O20" s="28" t="s">
        <v>290</v>
      </c>
      <c r="P20" s="28" t="s">
        <v>290</v>
      </c>
      <c r="Q20" s="28" t="s">
        <v>290</v>
      </c>
      <c r="R20" s="28"/>
      <c r="S20" s="28" t="s">
        <v>290</v>
      </c>
      <c r="T20" s="28"/>
      <c r="U20" s="28"/>
    </row>
    <row r="21" spans="1:21" x14ac:dyDescent="0.35">
      <c r="A21" s="225" t="s">
        <v>167</v>
      </c>
      <c r="B21" s="63"/>
      <c r="C21" s="105">
        <f>IFERROR(C18-C17,"")</f>
        <v>0</v>
      </c>
      <c r="D21" s="105">
        <f t="shared" ref="D21:U21" si="1">IFERROR(D18-D17,"")</f>
        <v>0</v>
      </c>
      <c r="E21" s="105">
        <f t="shared" si="1"/>
        <v>0</v>
      </c>
      <c r="F21" s="105">
        <f t="shared" si="1"/>
        <v>0</v>
      </c>
      <c r="G21" s="105">
        <f t="shared" si="1"/>
        <v>0</v>
      </c>
      <c r="H21" s="105">
        <f t="shared" si="1"/>
        <v>0</v>
      </c>
      <c r="I21" s="105">
        <f t="shared" si="1"/>
        <v>0</v>
      </c>
      <c r="J21" s="105">
        <f t="shared" si="1"/>
        <v>0</v>
      </c>
      <c r="K21" s="105">
        <f t="shared" si="1"/>
        <v>0</v>
      </c>
      <c r="L21" s="105">
        <f t="shared" si="1"/>
        <v>0</v>
      </c>
      <c r="M21" s="105">
        <f t="shared" si="1"/>
        <v>20650</v>
      </c>
      <c r="N21" s="105">
        <f t="shared" si="1"/>
        <v>0</v>
      </c>
      <c r="O21" s="105">
        <f t="shared" si="1"/>
        <v>11587</v>
      </c>
      <c r="P21" s="105">
        <f t="shared" si="1"/>
        <v>20650</v>
      </c>
      <c r="Q21" s="105">
        <f t="shared" si="1"/>
        <v>20650</v>
      </c>
      <c r="R21" s="105">
        <f t="shared" si="1"/>
        <v>0</v>
      </c>
      <c r="S21" s="105">
        <f t="shared" si="1"/>
        <v>11587</v>
      </c>
      <c r="T21" s="105">
        <f t="shared" si="1"/>
        <v>0</v>
      </c>
      <c r="U21" s="105">
        <f t="shared" si="1"/>
        <v>0</v>
      </c>
    </row>
    <row r="22" spans="1:21" ht="16.399999999999999" customHeight="1" x14ac:dyDescent="0.35">
      <c r="A22" s="65" t="s">
        <v>2</v>
      </c>
      <c r="B22" s="66"/>
      <c r="C22" s="103">
        <f>AVERAGE(C14,C21)</f>
        <v>20254.5</v>
      </c>
      <c r="D22" s="103">
        <f t="shared" ref="D22:U22" si="2">AVERAGE(D14,D21)</f>
        <v>0</v>
      </c>
      <c r="E22" s="103">
        <f t="shared" si="2"/>
        <v>0</v>
      </c>
      <c r="F22" s="103">
        <f t="shared" si="2"/>
        <v>0</v>
      </c>
      <c r="G22" s="103">
        <f t="shared" si="2"/>
        <v>0</v>
      </c>
      <c r="H22" s="103">
        <f t="shared" si="2"/>
        <v>0</v>
      </c>
      <c r="I22" s="103">
        <f t="shared" si="2"/>
        <v>0</v>
      </c>
      <c r="J22" s="103">
        <f t="shared" si="2"/>
        <v>15525</v>
      </c>
      <c r="K22" s="103">
        <f t="shared" si="2"/>
        <v>15525</v>
      </c>
      <c r="L22" s="103">
        <f t="shared" si="2"/>
        <v>15525</v>
      </c>
      <c r="M22" s="103">
        <f t="shared" si="2"/>
        <v>15525</v>
      </c>
      <c r="N22" s="103">
        <f t="shared" si="2"/>
        <v>0</v>
      </c>
      <c r="O22" s="103">
        <f t="shared" si="2"/>
        <v>15525</v>
      </c>
      <c r="P22" s="103">
        <f t="shared" si="2"/>
        <v>15525</v>
      </c>
      <c r="Q22" s="103">
        <f t="shared" si="2"/>
        <v>15525</v>
      </c>
      <c r="R22" s="103">
        <f t="shared" si="2"/>
        <v>0</v>
      </c>
      <c r="S22" s="103">
        <f t="shared" si="2"/>
        <v>15525</v>
      </c>
      <c r="T22" s="103">
        <f t="shared" si="2"/>
        <v>0</v>
      </c>
      <c r="U22" s="103">
        <f t="shared" si="2"/>
        <v>0</v>
      </c>
    </row>
    <row r="23" spans="1:21" x14ac:dyDescent="0.35">
      <c r="A23" s="21" t="s">
        <v>159</v>
      </c>
      <c r="B23" s="22"/>
      <c r="C23" s="35"/>
      <c r="D23" s="25"/>
      <c r="E23" s="25"/>
      <c r="F23" s="25"/>
      <c r="G23" s="25"/>
      <c r="H23" s="25"/>
      <c r="I23" s="25"/>
      <c r="J23" s="77"/>
      <c r="K23" s="29"/>
      <c r="L23" s="25"/>
      <c r="M23" s="59"/>
      <c r="N23" s="24"/>
      <c r="O23" s="24" t="s">
        <v>263</v>
      </c>
      <c r="P23" s="25" t="s">
        <v>263</v>
      </c>
      <c r="Q23" s="38"/>
      <c r="R23" s="25"/>
      <c r="S23" s="25"/>
      <c r="T23" s="25"/>
      <c r="U23" s="25"/>
    </row>
    <row r="24" spans="1:21" x14ac:dyDescent="0.35">
      <c r="A24" s="26" t="s">
        <v>161</v>
      </c>
      <c r="B24" s="27" t="s">
        <v>162</v>
      </c>
      <c r="C24" s="36"/>
      <c r="D24" s="28"/>
      <c r="E24" s="28"/>
      <c r="F24" s="28"/>
      <c r="G24" s="28"/>
      <c r="H24" s="28"/>
      <c r="I24" s="28"/>
      <c r="J24" s="59"/>
      <c r="K24" s="29"/>
      <c r="L24" s="28"/>
      <c r="M24" s="59"/>
      <c r="N24" s="28"/>
      <c r="O24" s="28">
        <v>31050</v>
      </c>
      <c r="P24" s="28">
        <v>31050</v>
      </c>
      <c r="Q24" s="28"/>
      <c r="R24" s="28"/>
      <c r="S24" s="28"/>
      <c r="T24" s="28"/>
      <c r="U24" s="28"/>
    </row>
    <row r="25" spans="1:21" x14ac:dyDescent="0.35">
      <c r="A25" s="26" t="s">
        <v>161</v>
      </c>
      <c r="B25" s="27" t="s">
        <v>163</v>
      </c>
      <c r="C25" s="36"/>
      <c r="D25" s="28"/>
      <c r="E25" s="28"/>
      <c r="F25" s="28"/>
      <c r="G25" s="28"/>
      <c r="H25" s="28"/>
      <c r="I25" s="28"/>
      <c r="J25" s="59"/>
      <c r="K25" s="29"/>
      <c r="L25" s="28"/>
      <c r="M25" s="59"/>
      <c r="N25" s="28"/>
      <c r="O25" s="28">
        <v>40509</v>
      </c>
      <c r="P25" s="28">
        <v>40509</v>
      </c>
      <c r="Q25" s="28"/>
      <c r="R25" s="28"/>
      <c r="S25" s="28"/>
      <c r="T25" s="28"/>
      <c r="U25" s="28"/>
    </row>
    <row r="26" spans="1:21" x14ac:dyDescent="0.35">
      <c r="A26" s="26" t="s">
        <v>164</v>
      </c>
      <c r="B26" s="27"/>
      <c r="C26" s="36"/>
      <c r="D26" s="28"/>
      <c r="E26" s="28"/>
      <c r="F26" s="28"/>
      <c r="G26" s="28"/>
      <c r="H26" s="28"/>
      <c r="I26" s="28"/>
      <c r="J26" s="77"/>
      <c r="K26" s="29"/>
      <c r="L26" s="28"/>
      <c r="M26" s="59"/>
      <c r="N26" s="28"/>
      <c r="O26" s="28" t="s">
        <v>251</v>
      </c>
      <c r="P26" s="28" t="s">
        <v>251</v>
      </c>
      <c r="Q26" s="28"/>
      <c r="R26" s="28"/>
      <c r="S26" s="28"/>
      <c r="T26" s="28"/>
      <c r="U26" s="28"/>
    </row>
    <row r="27" spans="1:21" x14ac:dyDescent="0.35">
      <c r="A27" s="32" t="s">
        <v>165</v>
      </c>
      <c r="B27" s="37"/>
      <c r="C27" s="36"/>
      <c r="D27" s="28"/>
      <c r="E27" s="28"/>
      <c r="F27" s="28"/>
      <c r="G27" s="28"/>
      <c r="H27" s="28"/>
      <c r="I27" s="28"/>
      <c r="J27" s="59"/>
      <c r="K27" s="29"/>
      <c r="L27" s="28"/>
      <c r="M27" s="59"/>
      <c r="N27" s="28"/>
      <c r="O27" s="28"/>
      <c r="P27" s="28"/>
      <c r="Q27" s="28"/>
      <c r="R27" s="28"/>
      <c r="S27" s="28"/>
      <c r="T27" s="28"/>
      <c r="U27" s="28"/>
    </row>
    <row r="28" spans="1:21" x14ac:dyDescent="0.35">
      <c r="A28" s="225" t="s">
        <v>167</v>
      </c>
      <c r="B28" s="63"/>
      <c r="C28" s="105">
        <f>IFERROR(C25-C24,"")</f>
        <v>0</v>
      </c>
      <c r="D28" s="105">
        <f t="shared" ref="D28:U28" si="3">IFERROR(D25-D24,"")</f>
        <v>0</v>
      </c>
      <c r="E28" s="105">
        <f t="shared" si="3"/>
        <v>0</v>
      </c>
      <c r="F28" s="105">
        <f t="shared" si="3"/>
        <v>0</v>
      </c>
      <c r="G28" s="105">
        <f t="shared" si="3"/>
        <v>0</v>
      </c>
      <c r="H28" s="105">
        <f t="shared" si="3"/>
        <v>0</v>
      </c>
      <c r="I28" s="105">
        <f t="shared" si="3"/>
        <v>0</v>
      </c>
      <c r="J28" s="105">
        <f t="shared" si="3"/>
        <v>0</v>
      </c>
      <c r="K28" s="105">
        <f t="shared" si="3"/>
        <v>0</v>
      </c>
      <c r="L28" s="105">
        <f t="shared" si="3"/>
        <v>0</v>
      </c>
      <c r="M28" s="105">
        <f t="shared" si="3"/>
        <v>0</v>
      </c>
      <c r="N28" s="105">
        <f t="shared" si="3"/>
        <v>0</v>
      </c>
      <c r="O28" s="105">
        <f t="shared" si="3"/>
        <v>9459</v>
      </c>
      <c r="P28" s="105">
        <f t="shared" si="3"/>
        <v>9459</v>
      </c>
      <c r="Q28" s="105">
        <f t="shared" si="3"/>
        <v>0</v>
      </c>
      <c r="R28" s="105">
        <f t="shared" si="3"/>
        <v>0</v>
      </c>
      <c r="S28" s="105">
        <f t="shared" si="3"/>
        <v>0</v>
      </c>
      <c r="T28" s="105">
        <f t="shared" si="3"/>
        <v>0</v>
      </c>
      <c r="U28" s="105">
        <f t="shared" si="3"/>
        <v>0</v>
      </c>
    </row>
    <row r="29" spans="1:21" ht="16.399999999999999" customHeight="1" x14ac:dyDescent="0.35">
      <c r="A29" s="65" t="s">
        <v>2</v>
      </c>
      <c r="B29" s="66"/>
      <c r="C29" s="103">
        <f>AVERAGE(C28,C21,C14)</f>
        <v>13503</v>
      </c>
      <c r="D29" s="103">
        <f t="shared" ref="D29:U29" si="4">AVERAGE(D28,D21,D14)</f>
        <v>0</v>
      </c>
      <c r="E29" s="103">
        <f t="shared" si="4"/>
        <v>0</v>
      </c>
      <c r="F29" s="103">
        <f t="shared" si="4"/>
        <v>0</v>
      </c>
      <c r="G29" s="103">
        <f t="shared" si="4"/>
        <v>0</v>
      </c>
      <c r="H29" s="103">
        <f t="shared" si="4"/>
        <v>0</v>
      </c>
      <c r="I29" s="103">
        <f t="shared" si="4"/>
        <v>0</v>
      </c>
      <c r="J29" s="103">
        <f t="shared" si="4"/>
        <v>10350</v>
      </c>
      <c r="K29" s="103">
        <f t="shared" si="4"/>
        <v>10350</v>
      </c>
      <c r="L29" s="103">
        <f t="shared" si="4"/>
        <v>10350</v>
      </c>
      <c r="M29" s="103">
        <f t="shared" si="4"/>
        <v>10350</v>
      </c>
      <c r="N29" s="103">
        <f t="shared" si="4"/>
        <v>0</v>
      </c>
      <c r="O29" s="103">
        <f t="shared" si="4"/>
        <v>13503</v>
      </c>
      <c r="P29" s="103">
        <f t="shared" si="4"/>
        <v>13503</v>
      </c>
      <c r="Q29" s="103">
        <f t="shared" si="4"/>
        <v>10350</v>
      </c>
      <c r="R29" s="103">
        <f t="shared" si="4"/>
        <v>0</v>
      </c>
      <c r="S29" s="103">
        <f t="shared" si="4"/>
        <v>10350</v>
      </c>
      <c r="T29" s="103">
        <f t="shared" si="4"/>
        <v>0</v>
      </c>
      <c r="U29" s="103">
        <f t="shared" si="4"/>
        <v>0</v>
      </c>
    </row>
    <row r="30" spans="1:21" x14ac:dyDescent="0.35">
      <c r="A30" s="21" t="s">
        <v>159</v>
      </c>
      <c r="B30" s="22"/>
      <c r="C30" s="35"/>
      <c r="D30" s="25"/>
      <c r="E30" s="25"/>
      <c r="F30" s="25"/>
      <c r="G30" s="25"/>
      <c r="H30" s="25"/>
      <c r="I30" s="25"/>
      <c r="J30" s="77"/>
      <c r="K30" s="29"/>
      <c r="L30" s="25"/>
      <c r="M30" s="59"/>
      <c r="N30" s="24"/>
      <c r="O30" s="24"/>
      <c r="P30" s="25"/>
      <c r="Q30" s="25"/>
      <c r="R30" s="25"/>
      <c r="S30" s="25"/>
      <c r="T30" s="25"/>
      <c r="U30" s="25"/>
    </row>
    <row r="31" spans="1:21" x14ac:dyDescent="0.35">
      <c r="A31" s="26" t="s">
        <v>161</v>
      </c>
      <c r="B31" s="27" t="s">
        <v>162</v>
      </c>
      <c r="C31" s="36"/>
      <c r="D31" s="28"/>
      <c r="E31" s="28"/>
      <c r="F31" s="28"/>
      <c r="G31" s="28"/>
      <c r="H31" s="28"/>
      <c r="I31" s="28"/>
      <c r="J31" s="59"/>
      <c r="K31" s="29"/>
      <c r="L31" s="28"/>
      <c r="M31" s="59"/>
      <c r="N31" s="28"/>
      <c r="O31" s="28"/>
      <c r="P31" s="28"/>
      <c r="Q31" s="28"/>
      <c r="R31" s="28"/>
      <c r="S31" s="28"/>
      <c r="T31" s="28"/>
      <c r="U31" s="28"/>
    </row>
    <row r="32" spans="1:21" x14ac:dyDescent="0.35">
      <c r="A32" s="26" t="s">
        <v>161</v>
      </c>
      <c r="B32" s="27" t="s">
        <v>163</v>
      </c>
      <c r="C32" s="36"/>
      <c r="D32" s="28"/>
      <c r="E32" s="28"/>
      <c r="F32" s="28"/>
      <c r="G32" s="28"/>
      <c r="H32" s="28"/>
      <c r="I32" s="28"/>
      <c r="J32" s="59"/>
      <c r="K32" s="29"/>
      <c r="L32" s="28"/>
      <c r="M32" s="59"/>
      <c r="N32" s="28"/>
      <c r="O32" s="28"/>
      <c r="P32" s="28"/>
      <c r="Q32" s="28"/>
      <c r="R32" s="28"/>
      <c r="S32" s="28"/>
      <c r="T32" s="28"/>
      <c r="U32" s="28"/>
    </row>
    <row r="33" spans="1:21" x14ac:dyDescent="0.35">
      <c r="A33" s="26" t="s">
        <v>164</v>
      </c>
      <c r="B33" s="27"/>
      <c r="C33" s="36"/>
      <c r="D33" s="28"/>
      <c r="E33" s="28"/>
      <c r="F33" s="28"/>
      <c r="G33" s="28"/>
      <c r="H33" s="28"/>
      <c r="I33" s="28"/>
      <c r="J33" s="77"/>
      <c r="K33" s="29"/>
      <c r="L33" s="28"/>
      <c r="M33" s="59"/>
      <c r="N33" s="28"/>
      <c r="O33" s="28"/>
      <c r="P33" s="28"/>
      <c r="Q33" s="28"/>
      <c r="R33" s="28"/>
      <c r="S33" s="28"/>
      <c r="T33" s="28"/>
      <c r="U33" s="28"/>
    </row>
    <row r="34" spans="1:21" x14ac:dyDescent="0.35">
      <c r="A34" s="32" t="s">
        <v>165</v>
      </c>
      <c r="B34" s="37"/>
      <c r="C34" s="36"/>
      <c r="D34" s="28"/>
      <c r="E34" s="28"/>
      <c r="F34" s="28"/>
      <c r="G34" s="28"/>
      <c r="H34" s="28"/>
      <c r="I34" s="28"/>
      <c r="J34" s="59"/>
      <c r="K34" s="29"/>
      <c r="L34" s="28"/>
      <c r="M34" s="59"/>
      <c r="N34" s="28"/>
      <c r="O34" s="28"/>
      <c r="P34" s="28"/>
      <c r="Q34" s="28"/>
      <c r="R34" s="28"/>
      <c r="S34" s="28"/>
      <c r="T34" s="28"/>
      <c r="U34" s="28"/>
    </row>
    <row r="35" spans="1:21" x14ac:dyDescent="0.35">
      <c r="A35" s="225" t="s">
        <v>167</v>
      </c>
      <c r="B35" s="63"/>
      <c r="C35" s="105">
        <f>IFERROR(C32-C31,"")</f>
        <v>0</v>
      </c>
      <c r="D35" s="105">
        <f t="shared" ref="D35:U35" si="5">IFERROR(D32-D31,"")</f>
        <v>0</v>
      </c>
      <c r="E35" s="105">
        <f t="shared" si="5"/>
        <v>0</v>
      </c>
      <c r="F35" s="105">
        <f t="shared" si="5"/>
        <v>0</v>
      </c>
      <c r="G35" s="105">
        <f t="shared" si="5"/>
        <v>0</v>
      </c>
      <c r="H35" s="105">
        <f t="shared" si="5"/>
        <v>0</v>
      </c>
      <c r="I35" s="105">
        <f t="shared" si="5"/>
        <v>0</v>
      </c>
      <c r="J35" s="105">
        <f t="shared" si="5"/>
        <v>0</v>
      </c>
      <c r="K35" s="105">
        <f t="shared" si="5"/>
        <v>0</v>
      </c>
      <c r="L35" s="105">
        <f t="shared" si="5"/>
        <v>0</v>
      </c>
      <c r="M35" s="105">
        <f t="shared" si="5"/>
        <v>0</v>
      </c>
      <c r="N35" s="105">
        <f t="shared" si="5"/>
        <v>0</v>
      </c>
      <c r="O35" s="105">
        <f t="shared" si="5"/>
        <v>0</v>
      </c>
      <c r="P35" s="105">
        <f t="shared" si="5"/>
        <v>0</v>
      </c>
      <c r="Q35" s="105">
        <f t="shared" si="5"/>
        <v>0</v>
      </c>
      <c r="R35" s="105">
        <f t="shared" si="5"/>
        <v>0</v>
      </c>
      <c r="S35" s="105">
        <f t="shared" si="5"/>
        <v>0</v>
      </c>
      <c r="T35" s="105">
        <f t="shared" si="5"/>
        <v>0</v>
      </c>
      <c r="U35" s="105">
        <f t="shared" si="5"/>
        <v>0</v>
      </c>
    </row>
    <row r="36" spans="1:21" ht="16.399999999999999" customHeight="1" x14ac:dyDescent="0.35">
      <c r="A36" s="65" t="s">
        <v>2</v>
      </c>
      <c r="B36" s="66"/>
      <c r="C36" s="103">
        <f>AVERAGE(C35,C28,C21,C14)</f>
        <v>10127.25</v>
      </c>
      <c r="D36" s="103">
        <f t="shared" ref="D36:U36" si="6">AVERAGE(D35,D28,D21,D14)</f>
        <v>0</v>
      </c>
      <c r="E36" s="103">
        <f t="shared" si="6"/>
        <v>0</v>
      </c>
      <c r="F36" s="103">
        <f t="shared" si="6"/>
        <v>0</v>
      </c>
      <c r="G36" s="103">
        <f t="shared" si="6"/>
        <v>0</v>
      </c>
      <c r="H36" s="103">
        <f t="shared" si="6"/>
        <v>0</v>
      </c>
      <c r="I36" s="103">
        <f t="shared" si="6"/>
        <v>0</v>
      </c>
      <c r="J36" s="103">
        <f t="shared" si="6"/>
        <v>7762.5</v>
      </c>
      <c r="K36" s="103">
        <f t="shared" si="6"/>
        <v>7762.5</v>
      </c>
      <c r="L36" s="103">
        <f t="shared" si="6"/>
        <v>7762.5</v>
      </c>
      <c r="M36" s="103">
        <f t="shared" si="6"/>
        <v>7762.5</v>
      </c>
      <c r="N36" s="103">
        <f t="shared" si="6"/>
        <v>0</v>
      </c>
      <c r="O36" s="103">
        <f t="shared" si="6"/>
        <v>10127.25</v>
      </c>
      <c r="P36" s="103">
        <f t="shared" si="6"/>
        <v>10127.25</v>
      </c>
      <c r="Q36" s="103">
        <f t="shared" si="6"/>
        <v>7762.5</v>
      </c>
      <c r="R36" s="103">
        <f t="shared" si="6"/>
        <v>0</v>
      </c>
      <c r="S36" s="103">
        <f t="shared" si="6"/>
        <v>7762.5</v>
      </c>
      <c r="T36" s="103">
        <f t="shared" si="6"/>
        <v>0</v>
      </c>
      <c r="U36" s="103">
        <f t="shared" si="6"/>
        <v>0</v>
      </c>
    </row>
    <row r="37" spans="1:21" x14ac:dyDescent="0.35">
      <c r="A37" s="21" t="s">
        <v>159</v>
      </c>
      <c r="B37" s="22"/>
      <c r="C37" s="35"/>
      <c r="D37" s="25"/>
      <c r="E37" s="25"/>
      <c r="F37" s="25"/>
      <c r="G37" s="25"/>
      <c r="H37" s="25"/>
      <c r="I37" s="25"/>
      <c r="J37" s="77"/>
      <c r="K37" s="29"/>
      <c r="L37" s="25"/>
      <c r="M37" s="59"/>
      <c r="N37" s="24"/>
      <c r="O37" s="24"/>
      <c r="P37" s="25"/>
      <c r="Q37" s="25"/>
      <c r="R37" s="25"/>
      <c r="S37" s="25"/>
      <c r="T37" s="25"/>
      <c r="U37" s="25"/>
    </row>
    <row r="38" spans="1:21" x14ac:dyDescent="0.35">
      <c r="A38" s="26" t="s">
        <v>161</v>
      </c>
      <c r="B38" s="27" t="s">
        <v>162</v>
      </c>
      <c r="C38" s="36"/>
      <c r="D38" s="28"/>
      <c r="E38" s="28"/>
      <c r="F38" s="28"/>
      <c r="G38" s="28"/>
      <c r="H38" s="28"/>
      <c r="I38" s="28"/>
      <c r="J38" s="59"/>
      <c r="K38" s="29"/>
      <c r="L38" s="28"/>
      <c r="M38" s="59"/>
      <c r="N38" s="28"/>
      <c r="O38" s="28"/>
      <c r="P38" s="28"/>
      <c r="Q38" s="28"/>
      <c r="R38" s="28"/>
      <c r="S38" s="28"/>
      <c r="T38" s="28"/>
      <c r="U38" s="28"/>
    </row>
    <row r="39" spans="1:21" x14ac:dyDescent="0.35">
      <c r="A39" s="26" t="s">
        <v>161</v>
      </c>
      <c r="B39" s="27" t="s">
        <v>163</v>
      </c>
      <c r="C39" s="36"/>
      <c r="D39" s="28"/>
      <c r="E39" s="28"/>
      <c r="F39" s="28"/>
      <c r="G39" s="28"/>
      <c r="H39" s="28"/>
      <c r="I39" s="28"/>
      <c r="J39" s="59"/>
      <c r="K39" s="29"/>
      <c r="L39" s="28"/>
      <c r="M39" s="59"/>
      <c r="N39" s="28"/>
      <c r="O39" s="28"/>
      <c r="P39" s="28"/>
      <c r="Q39" s="28"/>
      <c r="R39" s="28"/>
      <c r="S39" s="28"/>
      <c r="T39" s="28"/>
      <c r="U39" s="28"/>
    </row>
    <row r="40" spans="1:21" x14ac:dyDescent="0.35">
      <c r="A40" s="26" t="s">
        <v>164</v>
      </c>
      <c r="B40" s="27"/>
      <c r="C40" s="36"/>
      <c r="D40" s="28"/>
      <c r="E40" s="28"/>
      <c r="F40" s="28"/>
      <c r="G40" s="28"/>
      <c r="H40" s="28"/>
      <c r="I40" s="28"/>
      <c r="J40" s="77"/>
      <c r="K40" s="29"/>
      <c r="L40" s="28"/>
      <c r="M40" s="59"/>
      <c r="N40" s="28"/>
      <c r="O40" s="28"/>
      <c r="P40" s="28"/>
      <c r="Q40" s="28"/>
      <c r="R40" s="28"/>
      <c r="S40" s="28"/>
      <c r="T40" s="28"/>
      <c r="U40" s="28"/>
    </row>
    <row r="41" spans="1:21" x14ac:dyDescent="0.35">
      <c r="A41" s="32" t="s">
        <v>165</v>
      </c>
      <c r="B41" s="37"/>
      <c r="C41" s="36"/>
      <c r="D41" s="28"/>
      <c r="E41" s="28"/>
      <c r="F41" s="28"/>
      <c r="G41" s="28"/>
      <c r="H41" s="28"/>
      <c r="I41" s="28"/>
      <c r="J41" s="59"/>
      <c r="K41" s="29"/>
      <c r="L41" s="28"/>
      <c r="M41" s="59"/>
      <c r="N41" s="28"/>
      <c r="O41" s="28"/>
      <c r="P41" s="28"/>
      <c r="Q41" s="28"/>
      <c r="R41" s="28"/>
      <c r="S41" s="28"/>
      <c r="T41" s="28"/>
      <c r="U41" s="28"/>
    </row>
    <row r="42" spans="1:21" x14ac:dyDescent="0.35">
      <c r="A42" s="225" t="s">
        <v>167</v>
      </c>
      <c r="B42" s="63"/>
      <c r="C42" s="105">
        <f>IFERROR(C39-C38,"")</f>
        <v>0</v>
      </c>
      <c r="D42" s="105">
        <f t="shared" ref="D42:U42" si="7">IFERROR(D39-D38,"")</f>
        <v>0</v>
      </c>
      <c r="E42" s="105">
        <f t="shared" si="7"/>
        <v>0</v>
      </c>
      <c r="F42" s="105">
        <f t="shared" si="7"/>
        <v>0</v>
      </c>
      <c r="G42" s="105">
        <f t="shared" si="7"/>
        <v>0</v>
      </c>
      <c r="H42" s="105">
        <f t="shared" si="7"/>
        <v>0</v>
      </c>
      <c r="I42" s="105">
        <f t="shared" si="7"/>
        <v>0</v>
      </c>
      <c r="J42" s="105">
        <f t="shared" si="7"/>
        <v>0</v>
      </c>
      <c r="K42" s="105">
        <f t="shared" si="7"/>
        <v>0</v>
      </c>
      <c r="L42" s="105">
        <f t="shared" si="7"/>
        <v>0</v>
      </c>
      <c r="M42" s="105">
        <f t="shared" si="7"/>
        <v>0</v>
      </c>
      <c r="N42" s="105">
        <f t="shared" si="7"/>
        <v>0</v>
      </c>
      <c r="O42" s="105">
        <f t="shared" si="7"/>
        <v>0</v>
      </c>
      <c r="P42" s="105">
        <f t="shared" si="7"/>
        <v>0</v>
      </c>
      <c r="Q42" s="105">
        <f t="shared" si="7"/>
        <v>0</v>
      </c>
      <c r="R42" s="105">
        <f t="shared" si="7"/>
        <v>0</v>
      </c>
      <c r="S42" s="105">
        <f t="shared" si="7"/>
        <v>0</v>
      </c>
      <c r="T42" s="105">
        <f t="shared" si="7"/>
        <v>0</v>
      </c>
      <c r="U42" s="105">
        <f t="shared" si="7"/>
        <v>0</v>
      </c>
    </row>
    <row r="43" spans="1:21" ht="16.399999999999999" customHeight="1" x14ac:dyDescent="0.35">
      <c r="A43" s="65" t="s">
        <v>2</v>
      </c>
      <c r="B43" s="66"/>
      <c r="C43" s="103">
        <f>AVERAGE(C42,C35,C28,C21,C14)</f>
        <v>8101.8</v>
      </c>
      <c r="D43" s="103">
        <f t="shared" ref="D43:U43" si="8">AVERAGE(D42,D35,D28,D21,D14)</f>
        <v>0</v>
      </c>
      <c r="E43" s="103">
        <f t="shared" si="8"/>
        <v>0</v>
      </c>
      <c r="F43" s="103">
        <f t="shared" si="8"/>
        <v>0</v>
      </c>
      <c r="G43" s="103">
        <f t="shared" si="8"/>
        <v>0</v>
      </c>
      <c r="H43" s="103">
        <f t="shared" si="8"/>
        <v>0</v>
      </c>
      <c r="I43" s="103">
        <f t="shared" si="8"/>
        <v>0</v>
      </c>
      <c r="J43" s="103">
        <f t="shared" si="8"/>
        <v>6210</v>
      </c>
      <c r="K43" s="103">
        <f t="shared" si="8"/>
        <v>6210</v>
      </c>
      <c r="L43" s="103">
        <f t="shared" si="8"/>
        <v>6210</v>
      </c>
      <c r="M43" s="103">
        <f t="shared" si="8"/>
        <v>6210</v>
      </c>
      <c r="N43" s="103">
        <f t="shared" si="8"/>
        <v>0</v>
      </c>
      <c r="O43" s="103">
        <f t="shared" si="8"/>
        <v>8101.8</v>
      </c>
      <c r="P43" s="103">
        <f t="shared" si="8"/>
        <v>8101.8</v>
      </c>
      <c r="Q43" s="103">
        <f t="shared" si="8"/>
        <v>6210</v>
      </c>
      <c r="R43" s="103">
        <f t="shared" si="8"/>
        <v>0</v>
      </c>
      <c r="S43" s="103">
        <f t="shared" si="8"/>
        <v>6210</v>
      </c>
      <c r="T43" s="103">
        <f t="shared" si="8"/>
        <v>0</v>
      </c>
      <c r="U43" s="103">
        <f t="shared" si="8"/>
        <v>0</v>
      </c>
    </row>
    <row r="44" spans="1:21" x14ac:dyDescent="0.35">
      <c r="A44" s="21" t="s">
        <v>159</v>
      </c>
      <c r="B44" s="22"/>
      <c r="C44" s="35"/>
      <c r="D44" s="25"/>
      <c r="E44" s="25"/>
      <c r="F44" s="25"/>
      <c r="G44" s="25"/>
      <c r="H44" s="25"/>
      <c r="I44" s="25"/>
      <c r="J44" s="77"/>
      <c r="K44" s="29"/>
      <c r="L44" s="25"/>
      <c r="M44" s="59"/>
      <c r="N44" s="24"/>
      <c r="O44" s="24"/>
      <c r="P44" s="25"/>
      <c r="Q44" s="25"/>
      <c r="R44" s="25"/>
      <c r="S44" s="25"/>
      <c r="T44" s="25"/>
      <c r="U44" s="25"/>
    </row>
    <row r="45" spans="1:21" x14ac:dyDescent="0.35">
      <c r="A45" s="26" t="s">
        <v>161</v>
      </c>
      <c r="B45" s="27" t="s">
        <v>162</v>
      </c>
      <c r="C45" s="36"/>
      <c r="D45" s="28"/>
      <c r="E45" s="28"/>
      <c r="F45" s="28"/>
      <c r="G45" s="28"/>
      <c r="H45" s="28"/>
      <c r="I45" s="28"/>
      <c r="J45" s="59"/>
      <c r="K45" s="29"/>
      <c r="L45" s="28"/>
      <c r="M45" s="59"/>
      <c r="N45" s="28"/>
      <c r="O45" s="28"/>
      <c r="P45" s="28"/>
      <c r="Q45" s="28"/>
      <c r="R45" s="28"/>
      <c r="S45" s="28"/>
      <c r="T45" s="28"/>
      <c r="U45" s="28"/>
    </row>
    <row r="46" spans="1:21" x14ac:dyDescent="0.35">
      <c r="A46" s="26" t="s">
        <v>161</v>
      </c>
      <c r="B46" s="27" t="s">
        <v>163</v>
      </c>
      <c r="C46" s="36"/>
      <c r="D46" s="28"/>
      <c r="E46" s="28"/>
      <c r="F46" s="28"/>
      <c r="G46" s="28"/>
      <c r="H46" s="28"/>
      <c r="I46" s="28"/>
      <c r="J46" s="59"/>
      <c r="K46" s="29"/>
      <c r="L46" s="28"/>
      <c r="M46" s="59"/>
      <c r="N46" s="28"/>
      <c r="O46" s="28"/>
      <c r="P46" s="28"/>
      <c r="Q46" s="28"/>
      <c r="R46" s="28"/>
      <c r="S46" s="28"/>
      <c r="T46" s="28"/>
      <c r="U46" s="28"/>
    </row>
    <row r="47" spans="1:21" x14ac:dyDescent="0.35">
      <c r="A47" s="26" t="s">
        <v>164</v>
      </c>
      <c r="B47" s="27"/>
      <c r="C47" s="36"/>
      <c r="D47" s="28"/>
      <c r="E47" s="28"/>
      <c r="F47" s="28"/>
      <c r="G47" s="28"/>
      <c r="H47" s="28"/>
      <c r="I47" s="28"/>
      <c r="J47" s="77"/>
      <c r="K47" s="29"/>
      <c r="L47" s="28"/>
      <c r="M47" s="59"/>
      <c r="N47" s="28"/>
      <c r="O47" s="28"/>
      <c r="P47" s="28"/>
      <c r="Q47" s="28"/>
      <c r="R47" s="28"/>
      <c r="S47" s="28"/>
      <c r="T47" s="28"/>
      <c r="U47" s="28"/>
    </row>
    <row r="48" spans="1:21" x14ac:dyDescent="0.35">
      <c r="A48" s="32" t="s">
        <v>165</v>
      </c>
      <c r="B48" s="37"/>
      <c r="C48" s="36"/>
      <c r="D48" s="28"/>
      <c r="E48" s="28"/>
      <c r="F48" s="28"/>
      <c r="G48" s="28"/>
      <c r="H48" s="28"/>
      <c r="I48" s="28"/>
      <c r="J48" s="59"/>
      <c r="K48" s="29"/>
      <c r="L48" s="28"/>
      <c r="M48" s="59"/>
      <c r="N48" s="28"/>
      <c r="O48" s="28"/>
      <c r="P48" s="28"/>
      <c r="Q48" s="28"/>
      <c r="R48" s="28"/>
      <c r="S48" s="28"/>
      <c r="T48" s="28"/>
      <c r="U48" s="28"/>
    </row>
    <row r="49" spans="1:21" x14ac:dyDescent="0.35">
      <c r="A49" s="225" t="s">
        <v>167</v>
      </c>
      <c r="B49" s="63"/>
      <c r="C49" s="105">
        <f>IFERROR(C46-C45,"")</f>
        <v>0</v>
      </c>
      <c r="D49" s="105">
        <f t="shared" ref="D49:U49" si="9">IFERROR(D46-D45,"")</f>
        <v>0</v>
      </c>
      <c r="E49" s="105">
        <f t="shared" si="9"/>
        <v>0</v>
      </c>
      <c r="F49" s="105">
        <f t="shared" si="9"/>
        <v>0</v>
      </c>
      <c r="G49" s="105">
        <f t="shared" si="9"/>
        <v>0</v>
      </c>
      <c r="H49" s="105">
        <f t="shared" si="9"/>
        <v>0</v>
      </c>
      <c r="I49" s="105">
        <f t="shared" si="9"/>
        <v>0</v>
      </c>
      <c r="J49" s="105">
        <f t="shared" si="9"/>
        <v>0</v>
      </c>
      <c r="K49" s="105">
        <f t="shared" si="9"/>
        <v>0</v>
      </c>
      <c r="L49" s="105">
        <f t="shared" si="9"/>
        <v>0</v>
      </c>
      <c r="M49" s="105">
        <f t="shared" si="9"/>
        <v>0</v>
      </c>
      <c r="N49" s="105">
        <f t="shared" si="9"/>
        <v>0</v>
      </c>
      <c r="O49" s="105">
        <f t="shared" si="9"/>
        <v>0</v>
      </c>
      <c r="P49" s="105">
        <f t="shared" si="9"/>
        <v>0</v>
      </c>
      <c r="Q49" s="105">
        <f t="shared" si="9"/>
        <v>0</v>
      </c>
      <c r="R49" s="105">
        <f t="shared" si="9"/>
        <v>0</v>
      </c>
      <c r="S49" s="105">
        <f t="shared" si="9"/>
        <v>0</v>
      </c>
      <c r="T49" s="105">
        <f t="shared" si="9"/>
        <v>0</v>
      </c>
      <c r="U49" s="105">
        <f t="shared" si="9"/>
        <v>0</v>
      </c>
    </row>
    <row r="50" spans="1:21" ht="16.399999999999999" customHeight="1" x14ac:dyDescent="0.35">
      <c r="A50" s="65" t="s">
        <v>2</v>
      </c>
      <c r="B50" s="66"/>
      <c r="C50" s="103">
        <f>AVERAGE(C49,C42,C35,C28,C21,C14)</f>
        <v>6751.5</v>
      </c>
      <c r="D50" s="103">
        <f t="shared" ref="D50:U50" si="10">AVERAGE(D49,D42,D35,D28,D21,D14)</f>
        <v>0</v>
      </c>
      <c r="E50" s="103">
        <f t="shared" si="10"/>
        <v>0</v>
      </c>
      <c r="F50" s="103">
        <f t="shared" si="10"/>
        <v>0</v>
      </c>
      <c r="G50" s="103">
        <f t="shared" si="10"/>
        <v>0</v>
      </c>
      <c r="H50" s="103">
        <f t="shared" si="10"/>
        <v>0</v>
      </c>
      <c r="I50" s="103">
        <f t="shared" si="10"/>
        <v>0</v>
      </c>
      <c r="J50" s="103">
        <f t="shared" si="10"/>
        <v>5175</v>
      </c>
      <c r="K50" s="103">
        <f t="shared" si="10"/>
        <v>5175</v>
      </c>
      <c r="L50" s="103">
        <f t="shared" si="10"/>
        <v>5175</v>
      </c>
      <c r="M50" s="103">
        <f t="shared" si="10"/>
        <v>5175</v>
      </c>
      <c r="N50" s="103">
        <f t="shared" si="10"/>
        <v>0</v>
      </c>
      <c r="O50" s="103">
        <f t="shared" si="10"/>
        <v>6751.5</v>
      </c>
      <c r="P50" s="103">
        <f t="shared" si="10"/>
        <v>6751.5</v>
      </c>
      <c r="Q50" s="103">
        <f t="shared" si="10"/>
        <v>5175</v>
      </c>
      <c r="R50" s="103">
        <f t="shared" si="10"/>
        <v>0</v>
      </c>
      <c r="S50" s="103">
        <f t="shared" si="10"/>
        <v>5175</v>
      </c>
      <c r="T50" s="103">
        <f t="shared" si="10"/>
        <v>0</v>
      </c>
      <c r="U50" s="103">
        <f t="shared" si="10"/>
        <v>0</v>
      </c>
    </row>
    <row r="51" spans="1:21" x14ac:dyDescent="0.35">
      <c r="A51" s="21" t="s">
        <v>159</v>
      </c>
      <c r="B51" s="22"/>
      <c r="C51" s="35"/>
      <c r="D51" s="25"/>
      <c r="E51" s="25"/>
      <c r="F51" s="25"/>
      <c r="G51" s="25"/>
      <c r="H51" s="25"/>
      <c r="I51" s="25"/>
      <c r="J51" s="77"/>
      <c r="K51" s="29"/>
      <c r="L51" s="25"/>
      <c r="M51" s="59"/>
      <c r="N51" s="24"/>
      <c r="O51" s="24"/>
      <c r="P51" s="25"/>
      <c r="Q51" s="25"/>
      <c r="R51" s="25"/>
      <c r="S51" s="25"/>
      <c r="T51" s="25"/>
      <c r="U51" s="25"/>
    </row>
    <row r="52" spans="1:21" x14ac:dyDescent="0.35">
      <c r="A52" s="26" t="s">
        <v>161</v>
      </c>
      <c r="B52" s="27" t="s">
        <v>162</v>
      </c>
      <c r="C52" s="36"/>
      <c r="D52" s="28"/>
      <c r="E52" s="28"/>
      <c r="F52" s="28"/>
      <c r="G52" s="28"/>
      <c r="H52" s="28"/>
      <c r="I52" s="28"/>
      <c r="J52" s="59"/>
      <c r="K52" s="29"/>
      <c r="L52" s="28"/>
      <c r="M52" s="59"/>
      <c r="N52" s="28"/>
      <c r="O52" s="28"/>
      <c r="P52" s="28"/>
      <c r="Q52" s="28"/>
      <c r="R52" s="28"/>
      <c r="S52" s="28"/>
      <c r="T52" s="28"/>
      <c r="U52" s="28"/>
    </row>
    <row r="53" spans="1:21" x14ac:dyDescent="0.35">
      <c r="A53" s="26" t="s">
        <v>161</v>
      </c>
      <c r="B53" s="27" t="s">
        <v>163</v>
      </c>
      <c r="C53" s="36"/>
      <c r="D53" s="28"/>
      <c r="E53" s="28"/>
      <c r="F53" s="28"/>
      <c r="G53" s="28"/>
      <c r="H53" s="28"/>
      <c r="I53" s="28"/>
      <c r="J53" s="59"/>
      <c r="K53" s="29"/>
      <c r="L53" s="28"/>
      <c r="M53" s="59"/>
      <c r="N53" s="28"/>
      <c r="O53" s="28"/>
      <c r="P53" s="28"/>
      <c r="Q53" s="28"/>
      <c r="R53" s="28"/>
      <c r="S53" s="28"/>
      <c r="T53" s="28"/>
      <c r="U53" s="28"/>
    </row>
    <row r="54" spans="1:21" x14ac:dyDescent="0.35">
      <c r="A54" s="26" t="s">
        <v>164</v>
      </c>
      <c r="B54" s="27"/>
      <c r="C54" s="36"/>
      <c r="D54" s="28"/>
      <c r="E54" s="28"/>
      <c r="F54" s="28"/>
      <c r="G54" s="28"/>
      <c r="H54" s="28"/>
      <c r="I54" s="28"/>
      <c r="J54" s="77"/>
      <c r="K54" s="29"/>
      <c r="L54" s="28"/>
      <c r="M54" s="59"/>
      <c r="N54" s="28"/>
      <c r="O54" s="28"/>
      <c r="P54" s="28"/>
      <c r="Q54" s="28"/>
      <c r="R54" s="28"/>
      <c r="S54" s="28"/>
      <c r="T54" s="28"/>
      <c r="U54" s="28"/>
    </row>
    <row r="55" spans="1:21" x14ac:dyDescent="0.35">
      <c r="A55" s="32" t="s">
        <v>165</v>
      </c>
      <c r="B55" s="37"/>
      <c r="C55" s="36"/>
      <c r="D55" s="28"/>
      <c r="E55" s="28"/>
      <c r="F55" s="28"/>
      <c r="G55" s="28"/>
      <c r="H55" s="28"/>
      <c r="I55" s="28"/>
      <c r="J55" s="59"/>
      <c r="K55" s="29"/>
      <c r="L55" s="28"/>
      <c r="M55" s="59"/>
      <c r="N55" s="28"/>
      <c r="O55" s="28"/>
      <c r="P55" s="28"/>
      <c r="Q55" s="28"/>
      <c r="R55" s="28"/>
      <c r="S55" s="28"/>
      <c r="T55" s="28"/>
      <c r="U55" s="28"/>
    </row>
    <row r="56" spans="1:21" x14ac:dyDescent="0.35">
      <c r="A56" s="225" t="s">
        <v>167</v>
      </c>
      <c r="B56" s="63"/>
      <c r="C56" s="105">
        <f>IFERROR(C53-C52,"")</f>
        <v>0</v>
      </c>
      <c r="D56" s="105">
        <f t="shared" ref="D56:U56" si="11">IFERROR(D53-D52,"")</f>
        <v>0</v>
      </c>
      <c r="E56" s="105">
        <f t="shared" si="11"/>
        <v>0</v>
      </c>
      <c r="F56" s="105">
        <f t="shared" si="11"/>
        <v>0</v>
      </c>
      <c r="G56" s="105">
        <f t="shared" si="11"/>
        <v>0</v>
      </c>
      <c r="H56" s="105">
        <f t="shared" si="11"/>
        <v>0</v>
      </c>
      <c r="I56" s="105">
        <f t="shared" si="11"/>
        <v>0</v>
      </c>
      <c r="J56" s="105">
        <f t="shared" si="11"/>
        <v>0</v>
      </c>
      <c r="K56" s="105">
        <f t="shared" si="11"/>
        <v>0</v>
      </c>
      <c r="L56" s="105">
        <f t="shared" si="11"/>
        <v>0</v>
      </c>
      <c r="M56" s="105">
        <f t="shared" si="11"/>
        <v>0</v>
      </c>
      <c r="N56" s="105">
        <f t="shared" si="11"/>
        <v>0</v>
      </c>
      <c r="O56" s="105">
        <f t="shared" si="11"/>
        <v>0</v>
      </c>
      <c r="P56" s="105">
        <f t="shared" si="11"/>
        <v>0</v>
      </c>
      <c r="Q56" s="105">
        <f t="shared" si="11"/>
        <v>0</v>
      </c>
      <c r="R56" s="105">
        <f t="shared" si="11"/>
        <v>0</v>
      </c>
      <c r="S56" s="105">
        <f t="shared" si="11"/>
        <v>0</v>
      </c>
      <c r="T56" s="105">
        <f t="shared" si="11"/>
        <v>0</v>
      </c>
      <c r="U56" s="105">
        <f t="shared" si="11"/>
        <v>0</v>
      </c>
    </row>
    <row r="57" spans="1:21" ht="16.399999999999999" customHeight="1" x14ac:dyDescent="0.35">
      <c r="A57" s="65" t="s">
        <v>2</v>
      </c>
      <c r="B57" s="66"/>
      <c r="C57" s="103">
        <f>AVERAGE(C56,C49,C42,C35,C28,C21,C14)</f>
        <v>5787</v>
      </c>
      <c r="D57" s="103">
        <f t="shared" ref="D57:U57" si="12">AVERAGE(D56,D49,D42,D35,D28,D21,D14)</f>
        <v>0</v>
      </c>
      <c r="E57" s="103">
        <f t="shared" si="12"/>
        <v>0</v>
      </c>
      <c r="F57" s="103">
        <f t="shared" si="12"/>
        <v>0</v>
      </c>
      <c r="G57" s="103">
        <f t="shared" si="12"/>
        <v>0</v>
      </c>
      <c r="H57" s="103">
        <f t="shared" si="12"/>
        <v>0</v>
      </c>
      <c r="I57" s="103">
        <f t="shared" si="12"/>
        <v>0</v>
      </c>
      <c r="J57" s="103">
        <f t="shared" si="12"/>
        <v>4435.7142857142853</v>
      </c>
      <c r="K57" s="103">
        <f t="shared" si="12"/>
        <v>4435.7142857142853</v>
      </c>
      <c r="L57" s="103">
        <f t="shared" si="12"/>
        <v>4435.7142857142853</v>
      </c>
      <c r="M57" s="103">
        <f t="shared" si="12"/>
        <v>4435.7142857142853</v>
      </c>
      <c r="N57" s="103">
        <f t="shared" si="12"/>
        <v>0</v>
      </c>
      <c r="O57" s="103">
        <f t="shared" si="12"/>
        <v>5787</v>
      </c>
      <c r="P57" s="103">
        <f t="shared" si="12"/>
        <v>5787</v>
      </c>
      <c r="Q57" s="103">
        <f t="shared" si="12"/>
        <v>4435.7142857142853</v>
      </c>
      <c r="R57" s="103">
        <f t="shared" si="12"/>
        <v>0</v>
      </c>
      <c r="S57" s="103">
        <f t="shared" si="12"/>
        <v>4435.7142857142853</v>
      </c>
      <c r="T57" s="103">
        <f t="shared" si="12"/>
        <v>0</v>
      </c>
      <c r="U57" s="103">
        <f t="shared" si="12"/>
        <v>0</v>
      </c>
    </row>
    <row r="58" spans="1:21" x14ac:dyDescent="0.35">
      <c r="A58" s="21" t="s">
        <v>159</v>
      </c>
      <c r="B58" s="22"/>
      <c r="C58" s="35"/>
      <c r="D58" s="25"/>
      <c r="E58" s="25"/>
      <c r="F58" s="25"/>
      <c r="G58" s="25"/>
      <c r="H58" s="25"/>
      <c r="I58" s="25"/>
      <c r="J58" s="77"/>
      <c r="K58" s="29"/>
      <c r="L58" s="25"/>
      <c r="M58" s="59"/>
      <c r="N58" s="24"/>
      <c r="O58" s="24"/>
      <c r="P58" s="25"/>
      <c r="Q58" s="25"/>
      <c r="R58" s="25"/>
      <c r="S58" s="25"/>
      <c r="T58" s="25"/>
      <c r="U58" s="25"/>
    </row>
    <row r="59" spans="1:21" x14ac:dyDescent="0.35">
      <c r="A59" s="26" t="s">
        <v>161</v>
      </c>
      <c r="B59" s="27" t="s">
        <v>162</v>
      </c>
      <c r="C59" s="36"/>
      <c r="D59" s="28"/>
      <c r="E59" s="28"/>
      <c r="F59" s="28"/>
      <c r="G59" s="28"/>
      <c r="H59" s="28"/>
      <c r="I59" s="28"/>
      <c r="J59" s="59"/>
      <c r="K59" s="29"/>
      <c r="L59" s="28"/>
      <c r="M59" s="59"/>
      <c r="N59" s="28"/>
      <c r="O59" s="28"/>
      <c r="P59" s="28"/>
      <c r="Q59" s="28"/>
      <c r="R59" s="28"/>
      <c r="S59" s="28"/>
      <c r="T59" s="28"/>
      <c r="U59" s="28"/>
    </row>
    <row r="60" spans="1:21" x14ac:dyDescent="0.35">
      <c r="A60" s="26" t="s">
        <v>161</v>
      </c>
      <c r="B60" s="27" t="s">
        <v>163</v>
      </c>
      <c r="C60" s="36"/>
      <c r="D60" s="28"/>
      <c r="E60" s="28"/>
      <c r="F60" s="28"/>
      <c r="G60" s="28"/>
      <c r="H60" s="28"/>
      <c r="I60" s="28"/>
      <c r="J60" s="59"/>
      <c r="K60" s="29"/>
      <c r="L60" s="28"/>
      <c r="M60" s="59"/>
      <c r="N60" s="28"/>
      <c r="O60" s="28"/>
      <c r="P60" s="28"/>
      <c r="Q60" s="28"/>
      <c r="R60" s="28"/>
      <c r="S60" s="28"/>
      <c r="T60" s="28"/>
      <c r="U60" s="28"/>
    </row>
    <row r="61" spans="1:21" x14ac:dyDescent="0.35">
      <c r="A61" s="26" t="s">
        <v>164</v>
      </c>
      <c r="B61" s="27"/>
      <c r="C61" s="36"/>
      <c r="D61" s="28"/>
      <c r="E61" s="28"/>
      <c r="F61" s="28"/>
      <c r="G61" s="28"/>
      <c r="H61" s="28"/>
      <c r="I61" s="28"/>
      <c r="J61" s="77"/>
      <c r="K61" s="29"/>
      <c r="L61" s="28"/>
      <c r="M61" s="59"/>
      <c r="N61" s="28"/>
      <c r="O61" s="28"/>
      <c r="P61" s="28"/>
      <c r="Q61" s="28"/>
      <c r="R61" s="28"/>
      <c r="S61" s="28"/>
      <c r="T61" s="28"/>
      <c r="U61" s="28"/>
    </row>
    <row r="62" spans="1:21" x14ac:dyDescent="0.35">
      <c r="A62" s="32" t="s">
        <v>165</v>
      </c>
      <c r="B62" s="37"/>
      <c r="C62" s="36"/>
      <c r="D62" s="28"/>
      <c r="E62" s="28"/>
      <c r="F62" s="28"/>
      <c r="G62" s="28"/>
      <c r="H62" s="28"/>
      <c r="I62" s="28"/>
      <c r="J62" s="59"/>
      <c r="K62" s="29"/>
      <c r="L62" s="28"/>
      <c r="M62" s="59"/>
      <c r="N62" s="28"/>
      <c r="O62" s="28"/>
      <c r="P62" s="28"/>
      <c r="Q62" s="28"/>
      <c r="R62" s="28"/>
      <c r="S62" s="28"/>
      <c r="T62" s="28"/>
      <c r="U62" s="28"/>
    </row>
    <row r="63" spans="1:21" x14ac:dyDescent="0.35">
      <c r="A63" s="225" t="s">
        <v>167</v>
      </c>
      <c r="B63" s="63"/>
      <c r="C63" s="105">
        <f>IFERROR(C60-C59,"")</f>
        <v>0</v>
      </c>
      <c r="D63" s="105">
        <f t="shared" ref="D63:U63" si="13">IFERROR(D60-D59,"")</f>
        <v>0</v>
      </c>
      <c r="E63" s="105">
        <f t="shared" si="13"/>
        <v>0</v>
      </c>
      <c r="F63" s="105">
        <f t="shared" si="13"/>
        <v>0</v>
      </c>
      <c r="G63" s="105">
        <f t="shared" si="13"/>
        <v>0</v>
      </c>
      <c r="H63" s="105">
        <f t="shared" si="13"/>
        <v>0</v>
      </c>
      <c r="I63" s="105">
        <f t="shared" si="13"/>
        <v>0</v>
      </c>
      <c r="J63" s="105">
        <f t="shared" si="13"/>
        <v>0</v>
      </c>
      <c r="K63" s="105">
        <f t="shared" si="13"/>
        <v>0</v>
      </c>
      <c r="L63" s="105">
        <f t="shared" si="13"/>
        <v>0</v>
      </c>
      <c r="M63" s="105">
        <f t="shared" si="13"/>
        <v>0</v>
      </c>
      <c r="N63" s="105">
        <f t="shared" si="13"/>
        <v>0</v>
      </c>
      <c r="O63" s="105">
        <f t="shared" si="13"/>
        <v>0</v>
      </c>
      <c r="P63" s="105">
        <f t="shared" si="13"/>
        <v>0</v>
      </c>
      <c r="Q63" s="105">
        <f t="shared" si="13"/>
        <v>0</v>
      </c>
      <c r="R63" s="105">
        <f t="shared" si="13"/>
        <v>0</v>
      </c>
      <c r="S63" s="105">
        <f t="shared" si="13"/>
        <v>0</v>
      </c>
      <c r="T63" s="105">
        <f t="shared" si="13"/>
        <v>0</v>
      </c>
      <c r="U63" s="105">
        <f t="shared" si="13"/>
        <v>0</v>
      </c>
    </row>
    <row r="64" spans="1:21" ht="16.399999999999999" customHeight="1" x14ac:dyDescent="0.35">
      <c r="A64" s="65" t="s">
        <v>2</v>
      </c>
      <c r="B64" s="66"/>
      <c r="C64" s="103">
        <f>AVERAGE(C63,C56,C49,C42,C35,C28,C21,C14)</f>
        <v>5063.625</v>
      </c>
      <c r="D64" s="103">
        <f t="shared" ref="D64:U64" si="14">AVERAGE(D63,D56,D49,D42,D35,D28,D21,D14)</f>
        <v>0</v>
      </c>
      <c r="E64" s="103">
        <f t="shared" si="14"/>
        <v>0</v>
      </c>
      <c r="F64" s="103">
        <f t="shared" si="14"/>
        <v>0</v>
      </c>
      <c r="G64" s="103">
        <f t="shared" si="14"/>
        <v>0</v>
      </c>
      <c r="H64" s="103">
        <f t="shared" si="14"/>
        <v>0</v>
      </c>
      <c r="I64" s="103">
        <f t="shared" si="14"/>
        <v>0</v>
      </c>
      <c r="J64" s="103">
        <f t="shared" si="14"/>
        <v>3881.25</v>
      </c>
      <c r="K64" s="103">
        <f t="shared" si="14"/>
        <v>3881.25</v>
      </c>
      <c r="L64" s="103">
        <f t="shared" si="14"/>
        <v>3881.25</v>
      </c>
      <c r="M64" s="103">
        <f t="shared" si="14"/>
        <v>3881.25</v>
      </c>
      <c r="N64" s="103">
        <f t="shared" si="14"/>
        <v>0</v>
      </c>
      <c r="O64" s="103">
        <f t="shared" si="14"/>
        <v>5063.625</v>
      </c>
      <c r="P64" s="103">
        <f t="shared" si="14"/>
        <v>5063.625</v>
      </c>
      <c r="Q64" s="103">
        <f t="shared" si="14"/>
        <v>3881.25</v>
      </c>
      <c r="R64" s="103">
        <f t="shared" si="14"/>
        <v>0</v>
      </c>
      <c r="S64" s="103">
        <f t="shared" si="14"/>
        <v>3881.25</v>
      </c>
      <c r="T64" s="103">
        <f t="shared" si="14"/>
        <v>0</v>
      </c>
      <c r="U64" s="103">
        <f t="shared" si="14"/>
        <v>0</v>
      </c>
    </row>
  </sheetData>
  <sheetProtection algorithmName="SHA-512" hashValue="+Pw1Ga8BnEMsZbg/frSBbmoWNWY8M4D/VgtX5EVJdIOkZ8tLPV/WUk4tPflVpJ9JSdlRze5gq7ZYzo0KoZMirw==" saltValue="bvJbX6aE5YgtA30pka7I2Q==" spinCount="100000" sheet="1" objects="1" scenarios="1"/>
  <autoFilter ref="A2:U64" xr:uid="{00000000-0009-0000-0000-00000A000000}"/>
  <mergeCells count="2">
    <mergeCell ref="A7:B7"/>
    <mergeCell ref="A8:B8"/>
  </mergeCells>
  <conditionalFormatting sqref="Q15:U15 H15:N15 H22:N22 H29:N29">
    <cfRule type="expression" dxfId="1255" priority="155">
      <formula>H15&lt;H18</formula>
    </cfRule>
    <cfRule type="expression" dxfId="1254" priority="156">
      <formula>H15&gt;H18</formula>
    </cfRule>
  </conditionalFormatting>
  <conditionalFormatting sqref="D15">
    <cfRule type="expression" dxfId="1253" priority="163">
      <formula>D15&lt;D18</formula>
    </cfRule>
    <cfRule type="expression" dxfId="1252" priority="164">
      <formula>D15&gt;$C$19</formula>
    </cfRule>
  </conditionalFormatting>
  <conditionalFormatting sqref="E15">
    <cfRule type="expression" dxfId="1251" priority="161" stopIfTrue="1">
      <formula>E15&lt;E18</formula>
    </cfRule>
    <cfRule type="expression" dxfId="1250" priority="162" stopIfTrue="1">
      <formula>E15&gt;$C$19</formula>
    </cfRule>
  </conditionalFormatting>
  <conditionalFormatting sqref="F15">
    <cfRule type="expression" dxfId="1249" priority="159">
      <formula>F15&lt;F18</formula>
    </cfRule>
    <cfRule type="expression" dxfId="1248" priority="160">
      <formula>F15&gt;F18</formula>
    </cfRule>
  </conditionalFormatting>
  <conditionalFormatting sqref="G15">
    <cfRule type="expression" dxfId="1247" priority="157">
      <formula>G15&lt;G18</formula>
    </cfRule>
    <cfRule type="expression" dxfId="1246" priority="158">
      <formula>G15&gt;G18</formula>
    </cfRule>
  </conditionalFormatting>
  <conditionalFormatting sqref="C15">
    <cfRule type="expression" dxfId="1245" priority="153">
      <formula>C15&lt;C18</formula>
    </cfRule>
    <cfRule type="expression" dxfId="1244" priority="154">
      <formula>C15&gt;C17</formula>
    </cfRule>
  </conditionalFormatting>
  <conditionalFormatting sqref="P15">
    <cfRule type="expression" dxfId="1243" priority="151">
      <formula>P15&lt;P18</formula>
    </cfRule>
    <cfRule type="expression" dxfId="1242" priority="152">
      <formula>P15&gt;P17</formula>
    </cfRule>
  </conditionalFormatting>
  <conditionalFormatting sqref="O15">
    <cfRule type="expression" dxfId="1241" priority="149">
      <formula>O15&lt;O18</formula>
    </cfRule>
    <cfRule type="expression" dxfId="1240" priority="150">
      <formula>O15&gt;O17</formula>
    </cfRule>
  </conditionalFormatting>
  <conditionalFormatting sqref="Q22:U22">
    <cfRule type="expression" dxfId="1239" priority="139">
      <formula>Q22&lt;Q25</formula>
    </cfRule>
    <cfRule type="expression" dxfId="1238" priority="140">
      <formula>Q22&gt;Q25</formula>
    </cfRule>
  </conditionalFormatting>
  <conditionalFormatting sqref="D22">
    <cfRule type="expression" dxfId="1237" priority="147">
      <formula>D22&lt;D25</formula>
    </cfRule>
    <cfRule type="expression" dxfId="1236" priority="148">
      <formula>D22&gt;$C$19</formula>
    </cfRule>
  </conditionalFormatting>
  <conditionalFormatting sqref="E22">
    <cfRule type="expression" dxfId="1235" priority="145" stopIfTrue="1">
      <formula>E22&lt;E25</formula>
    </cfRule>
    <cfRule type="expression" dxfId="1234" priority="146" stopIfTrue="1">
      <formula>E22&gt;$C$19</formula>
    </cfRule>
  </conditionalFormatting>
  <conditionalFormatting sqref="F22">
    <cfRule type="expression" dxfId="1233" priority="143">
      <formula>F22&lt;F25</formula>
    </cfRule>
    <cfRule type="expression" dxfId="1232" priority="144">
      <formula>F22&gt;F25</formula>
    </cfRule>
  </conditionalFormatting>
  <conditionalFormatting sqref="G22">
    <cfRule type="expression" dxfId="1231" priority="141">
      <formula>G22&lt;G25</formula>
    </cfRule>
    <cfRule type="expression" dxfId="1230" priority="142">
      <formula>G22&gt;G25</formula>
    </cfRule>
  </conditionalFormatting>
  <conditionalFormatting sqref="C22:U22">
    <cfRule type="expression" dxfId="1229" priority="137">
      <formula>C22&lt;C25</formula>
    </cfRule>
    <cfRule type="expression" dxfId="1228" priority="138">
      <formula>C22&gt;C24</formula>
    </cfRule>
  </conditionalFormatting>
  <conditionalFormatting sqref="P22">
    <cfRule type="expression" dxfId="1227" priority="135">
      <formula>P22&lt;P25</formula>
    </cfRule>
    <cfRule type="expression" dxfId="1226" priority="136">
      <formula>P22&gt;P24</formula>
    </cfRule>
  </conditionalFormatting>
  <conditionalFormatting sqref="O22">
    <cfRule type="expression" dxfId="1225" priority="133">
      <formula>O22&lt;O25</formula>
    </cfRule>
    <cfRule type="expression" dxfId="1224" priority="134">
      <formula>O22&gt;O24</formula>
    </cfRule>
  </conditionalFormatting>
  <conditionalFormatting sqref="Q29:U29">
    <cfRule type="expression" dxfId="1223" priority="123">
      <formula>Q29&lt;Q32</formula>
    </cfRule>
    <cfRule type="expression" dxfId="1222" priority="124">
      <formula>Q29&gt;Q32</formula>
    </cfRule>
  </conditionalFormatting>
  <conditionalFormatting sqref="D29">
    <cfRule type="expression" dxfId="1221" priority="131">
      <formula>D29&lt;D32</formula>
    </cfRule>
    <cfRule type="expression" dxfId="1220" priority="132">
      <formula>D29&gt;$C$19</formula>
    </cfRule>
  </conditionalFormatting>
  <conditionalFormatting sqref="E29">
    <cfRule type="expression" dxfId="1219" priority="129" stopIfTrue="1">
      <formula>E29&lt;E32</formula>
    </cfRule>
    <cfRule type="expression" dxfId="1218" priority="130" stopIfTrue="1">
      <formula>E29&gt;$C$19</formula>
    </cfRule>
  </conditionalFormatting>
  <conditionalFormatting sqref="F29">
    <cfRule type="expression" dxfId="1217" priority="127">
      <formula>F29&lt;F32</formula>
    </cfRule>
    <cfRule type="expression" dxfId="1216" priority="128">
      <formula>F29&gt;F32</formula>
    </cfRule>
  </conditionalFormatting>
  <conditionalFormatting sqref="G29">
    <cfRule type="expression" dxfId="1215" priority="125">
      <formula>G29&lt;G32</formula>
    </cfRule>
    <cfRule type="expression" dxfId="1214" priority="126">
      <formula>G29&gt;G32</formula>
    </cfRule>
  </conditionalFormatting>
  <conditionalFormatting sqref="C29:U29">
    <cfRule type="expression" dxfId="1213" priority="121">
      <formula>C29&lt;C32</formula>
    </cfRule>
    <cfRule type="expression" dxfId="1212" priority="122">
      <formula>C29&gt;C31</formula>
    </cfRule>
  </conditionalFormatting>
  <conditionalFormatting sqref="P29">
    <cfRule type="expression" dxfId="1211" priority="119">
      <formula>P29&lt;P32</formula>
    </cfRule>
    <cfRule type="expression" dxfId="1210" priority="120">
      <formula>P29&gt;P31</formula>
    </cfRule>
  </conditionalFormatting>
  <conditionalFormatting sqref="O29">
    <cfRule type="expression" dxfId="1209" priority="117">
      <formula>O29&lt;O32</formula>
    </cfRule>
    <cfRule type="expression" dxfId="1208" priority="118">
      <formula>O29&gt;O31</formula>
    </cfRule>
  </conditionalFormatting>
  <conditionalFormatting sqref="H36:N36">
    <cfRule type="expression" dxfId="1207" priority="115">
      <formula>H36&lt;H39</formula>
    </cfRule>
    <cfRule type="expression" dxfId="1206" priority="116">
      <formula>H36&gt;H39</formula>
    </cfRule>
  </conditionalFormatting>
  <conditionalFormatting sqref="Q36:U36">
    <cfRule type="expression" dxfId="1205" priority="105">
      <formula>Q36&lt;Q39</formula>
    </cfRule>
    <cfRule type="expression" dxfId="1204" priority="106">
      <formula>Q36&gt;Q39</formula>
    </cfRule>
  </conditionalFormatting>
  <conditionalFormatting sqref="D36">
    <cfRule type="expression" dxfId="1203" priority="113">
      <formula>D36&lt;D39</formula>
    </cfRule>
    <cfRule type="expression" dxfId="1202" priority="114">
      <formula>D36&gt;$C$19</formula>
    </cfRule>
  </conditionalFormatting>
  <conditionalFormatting sqref="E36">
    <cfRule type="expression" dxfId="1201" priority="111" stopIfTrue="1">
      <formula>E36&lt;E39</formula>
    </cfRule>
    <cfRule type="expression" dxfId="1200" priority="112" stopIfTrue="1">
      <formula>E36&gt;$C$19</formula>
    </cfRule>
  </conditionalFormatting>
  <conditionalFormatting sqref="F36">
    <cfRule type="expression" dxfId="1199" priority="109">
      <formula>F36&lt;F39</formula>
    </cfRule>
    <cfRule type="expression" dxfId="1198" priority="110">
      <formula>F36&gt;F39</formula>
    </cfRule>
  </conditionalFormatting>
  <conditionalFormatting sqref="G36">
    <cfRule type="expression" dxfId="1197" priority="107">
      <formula>G36&lt;G39</formula>
    </cfRule>
    <cfRule type="expression" dxfId="1196" priority="108">
      <formula>G36&gt;G39</formula>
    </cfRule>
  </conditionalFormatting>
  <conditionalFormatting sqref="C36:U36">
    <cfRule type="expression" dxfId="1195" priority="103">
      <formula>C36&lt;C39</formula>
    </cfRule>
    <cfRule type="expression" dxfId="1194" priority="104">
      <formula>C36&gt;C38</formula>
    </cfRule>
  </conditionalFormatting>
  <conditionalFormatting sqref="P36">
    <cfRule type="expression" dxfId="1193" priority="101">
      <formula>P36&lt;P39</formula>
    </cfRule>
    <cfRule type="expression" dxfId="1192" priority="102">
      <formula>P36&gt;P38</formula>
    </cfRule>
  </conditionalFormatting>
  <conditionalFormatting sqref="O36">
    <cfRule type="expression" dxfId="1191" priority="99">
      <formula>O36&lt;O39</formula>
    </cfRule>
    <cfRule type="expression" dxfId="1190" priority="100">
      <formula>O36&gt;O38</formula>
    </cfRule>
  </conditionalFormatting>
  <conditionalFormatting sqref="H43:N43">
    <cfRule type="expression" dxfId="1189" priority="97">
      <formula>H43&lt;H46</formula>
    </cfRule>
    <cfRule type="expression" dxfId="1188" priority="98">
      <formula>H43&gt;H46</formula>
    </cfRule>
  </conditionalFormatting>
  <conditionalFormatting sqref="Q43:U43">
    <cfRule type="expression" dxfId="1187" priority="87">
      <formula>Q43&lt;Q46</formula>
    </cfRule>
    <cfRule type="expression" dxfId="1186" priority="88">
      <formula>Q43&gt;Q46</formula>
    </cfRule>
  </conditionalFormatting>
  <conditionalFormatting sqref="D43">
    <cfRule type="expression" dxfId="1185" priority="95">
      <formula>D43&lt;D46</formula>
    </cfRule>
    <cfRule type="expression" dxfId="1184" priority="96">
      <formula>D43&gt;$C$19</formula>
    </cfRule>
  </conditionalFormatting>
  <conditionalFormatting sqref="E43">
    <cfRule type="expression" dxfId="1183" priority="93" stopIfTrue="1">
      <formula>E43&lt;E46</formula>
    </cfRule>
    <cfRule type="expression" dxfId="1182" priority="94" stopIfTrue="1">
      <formula>E43&gt;$C$19</formula>
    </cfRule>
  </conditionalFormatting>
  <conditionalFormatting sqref="F43">
    <cfRule type="expression" dxfId="1181" priority="91">
      <formula>F43&lt;F46</formula>
    </cfRule>
    <cfRule type="expression" dxfId="1180" priority="92">
      <formula>F43&gt;F46</formula>
    </cfRule>
  </conditionalFormatting>
  <conditionalFormatting sqref="G43">
    <cfRule type="expression" dxfId="1179" priority="89">
      <formula>G43&lt;G46</formula>
    </cfRule>
    <cfRule type="expression" dxfId="1178" priority="90">
      <formula>G43&gt;G46</formula>
    </cfRule>
  </conditionalFormatting>
  <conditionalFormatting sqref="C43:U43">
    <cfRule type="expression" dxfId="1177" priority="85">
      <formula>C43&lt;C46</formula>
    </cfRule>
    <cfRule type="expression" dxfId="1176" priority="86">
      <formula>C43&gt;C45</formula>
    </cfRule>
  </conditionalFormatting>
  <conditionalFormatting sqref="P43">
    <cfRule type="expression" dxfId="1175" priority="83">
      <formula>P43&lt;P46</formula>
    </cfRule>
    <cfRule type="expression" dxfId="1174" priority="84">
      <formula>P43&gt;P45</formula>
    </cfRule>
  </conditionalFormatting>
  <conditionalFormatting sqref="O43">
    <cfRule type="expression" dxfId="1173" priority="81">
      <formula>O43&lt;O46</formula>
    </cfRule>
    <cfRule type="expression" dxfId="1172" priority="82">
      <formula>O43&gt;O45</formula>
    </cfRule>
  </conditionalFormatting>
  <conditionalFormatting sqref="H50:N50">
    <cfRule type="expression" dxfId="1171" priority="79">
      <formula>H50&lt;H53</formula>
    </cfRule>
    <cfRule type="expression" dxfId="1170" priority="80">
      <formula>H50&gt;H53</formula>
    </cfRule>
  </conditionalFormatting>
  <conditionalFormatting sqref="Q50:U50">
    <cfRule type="expression" dxfId="1169" priority="69">
      <formula>Q50&lt;Q53</formula>
    </cfRule>
    <cfRule type="expression" dxfId="1168" priority="70">
      <formula>Q50&gt;Q53</formula>
    </cfRule>
  </conditionalFormatting>
  <conditionalFormatting sqref="D50">
    <cfRule type="expression" dxfId="1167" priority="77">
      <formula>D50&lt;D53</formula>
    </cfRule>
    <cfRule type="expression" dxfId="1166" priority="78">
      <formula>D50&gt;$C$19</formula>
    </cfRule>
  </conditionalFormatting>
  <conditionalFormatting sqref="E50">
    <cfRule type="expression" dxfId="1165" priority="75" stopIfTrue="1">
      <formula>E50&lt;E53</formula>
    </cfRule>
    <cfRule type="expression" dxfId="1164" priority="76" stopIfTrue="1">
      <formula>E50&gt;$C$19</formula>
    </cfRule>
  </conditionalFormatting>
  <conditionalFormatting sqref="F50">
    <cfRule type="expression" dxfId="1163" priority="73">
      <formula>F50&lt;F53</formula>
    </cfRule>
    <cfRule type="expression" dxfId="1162" priority="74">
      <formula>F50&gt;F53</formula>
    </cfRule>
  </conditionalFormatting>
  <conditionalFormatting sqref="G50">
    <cfRule type="expression" dxfId="1161" priority="71">
      <formula>G50&lt;G53</formula>
    </cfRule>
    <cfRule type="expression" dxfId="1160" priority="72">
      <formula>G50&gt;G53</formula>
    </cfRule>
  </conditionalFormatting>
  <conditionalFormatting sqref="C50:U50">
    <cfRule type="expression" dxfId="1159" priority="67">
      <formula>C50&lt;C53</formula>
    </cfRule>
    <cfRule type="expression" dxfId="1158" priority="68">
      <formula>C50&gt;C52</formula>
    </cfRule>
  </conditionalFormatting>
  <conditionalFormatting sqref="P50">
    <cfRule type="expression" dxfId="1157" priority="65">
      <formula>P50&lt;P53</formula>
    </cfRule>
    <cfRule type="expression" dxfId="1156" priority="66">
      <formula>P50&gt;P52</formula>
    </cfRule>
  </conditionalFormatting>
  <conditionalFormatting sqref="O50">
    <cfRule type="expression" dxfId="1155" priority="63">
      <formula>O50&lt;O53</formula>
    </cfRule>
    <cfRule type="expression" dxfId="1154" priority="64">
      <formula>O50&gt;O52</formula>
    </cfRule>
  </conditionalFormatting>
  <conditionalFormatting sqref="H57:N57">
    <cfRule type="expression" dxfId="1153" priority="61">
      <formula>H57&lt;H60</formula>
    </cfRule>
    <cfRule type="expression" dxfId="1152" priority="62">
      <formula>H57&gt;H60</formula>
    </cfRule>
  </conditionalFormatting>
  <conditionalFormatting sqref="Q57:U57">
    <cfRule type="expression" dxfId="1151" priority="51">
      <formula>Q57&lt;Q60</formula>
    </cfRule>
    <cfRule type="expression" dxfId="1150" priority="52">
      <formula>Q57&gt;Q60</formula>
    </cfRule>
  </conditionalFormatting>
  <conditionalFormatting sqref="D57">
    <cfRule type="expression" dxfId="1149" priority="59">
      <formula>D57&lt;D60</formula>
    </cfRule>
    <cfRule type="expression" dxfId="1148" priority="60">
      <formula>D57&gt;$C$19</formula>
    </cfRule>
  </conditionalFormatting>
  <conditionalFormatting sqref="E57">
    <cfRule type="expression" dxfId="1147" priority="57" stopIfTrue="1">
      <formula>E57&lt;E60</formula>
    </cfRule>
    <cfRule type="expression" dxfId="1146" priority="58" stopIfTrue="1">
      <formula>E57&gt;$C$19</formula>
    </cfRule>
  </conditionalFormatting>
  <conditionalFormatting sqref="F57">
    <cfRule type="expression" dxfId="1145" priority="55">
      <formula>F57&lt;F60</formula>
    </cfRule>
    <cfRule type="expression" dxfId="1144" priority="56">
      <formula>F57&gt;F60</formula>
    </cfRule>
  </conditionalFormatting>
  <conditionalFormatting sqref="G57">
    <cfRule type="expression" dxfId="1143" priority="53">
      <formula>G57&lt;G60</formula>
    </cfRule>
    <cfRule type="expression" dxfId="1142" priority="54">
      <formula>G57&gt;G60</formula>
    </cfRule>
  </conditionalFormatting>
  <conditionalFormatting sqref="C57:U57">
    <cfRule type="expression" dxfId="1141" priority="49">
      <formula>C57&lt;C60</formula>
    </cfRule>
    <cfRule type="expression" dxfId="1140" priority="50">
      <formula>C57&gt;C59</formula>
    </cfRule>
  </conditionalFormatting>
  <conditionalFormatting sqref="P57">
    <cfRule type="expression" dxfId="1139" priority="47">
      <formula>P57&lt;P60</formula>
    </cfRule>
    <cfRule type="expression" dxfId="1138" priority="48">
      <formula>P57&gt;P59</formula>
    </cfRule>
  </conditionalFormatting>
  <conditionalFormatting sqref="O57">
    <cfRule type="expression" dxfId="1137" priority="45">
      <formula>O57&lt;O60</formula>
    </cfRule>
    <cfRule type="expression" dxfId="1136" priority="46">
      <formula>O57&gt;O59</formula>
    </cfRule>
  </conditionalFormatting>
  <conditionalFormatting sqref="Q64:U64 F64:N64">
    <cfRule type="expression" dxfId="1135" priority="255">
      <formula>F64&lt;#REF!</formula>
    </cfRule>
    <cfRule type="expression" dxfId="1134" priority="256">
      <formula>F64&gt;#REF!</formula>
    </cfRule>
  </conditionalFormatting>
  <conditionalFormatting sqref="D64">
    <cfRule type="expression" dxfId="1133" priority="259">
      <formula>D64&lt;#REF!</formula>
    </cfRule>
    <cfRule type="expression" dxfId="1132" priority="260">
      <formula>D64&gt;$C$19</formula>
    </cfRule>
  </conditionalFormatting>
  <conditionalFormatting sqref="E64">
    <cfRule type="expression" dxfId="1131" priority="261" stopIfTrue="1">
      <formula>E64&lt;#REF!</formula>
    </cfRule>
    <cfRule type="expression" dxfId="1130" priority="262" stopIfTrue="1">
      <formula>E64&gt;$C$19</formula>
    </cfRule>
  </conditionalFormatting>
  <conditionalFormatting sqref="C64:U64">
    <cfRule type="expression" dxfId="1129" priority="267">
      <formula>C64&lt;#REF!</formula>
    </cfRule>
    <cfRule type="expression" dxfId="1128" priority="268">
      <formula>C64&gt;#REF!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V64"/>
  <sheetViews>
    <sheetView zoomScale="81" workbookViewId="0">
      <selection activeCell="E17" sqref="E17"/>
    </sheetView>
  </sheetViews>
  <sheetFormatPr defaultColWidth="8.81640625" defaultRowHeight="14.5" x14ac:dyDescent="0.35"/>
  <cols>
    <col min="1" max="1" width="16.1796875" customWidth="1"/>
    <col min="2" max="2" width="6.1796875" customWidth="1"/>
    <col min="3" max="5" width="21.54296875" bestFit="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3" width="17.1796875" bestFit="1" customWidth="1"/>
    <col min="14" max="14" width="17.1796875" style="194" bestFit="1" customWidth="1"/>
    <col min="15" max="15" width="17.1796875" style="199" bestFit="1" customWidth="1"/>
    <col min="16" max="16" width="17.1796875" style="194" bestFit="1" customWidth="1"/>
    <col min="17" max="20" width="17.1796875" bestFit="1" customWidth="1"/>
    <col min="21" max="21" width="15.1796875" bestFit="1" customWidth="1"/>
    <col min="22" max="22" width="17.1796875" bestFit="1" customWidth="1"/>
  </cols>
  <sheetData>
    <row r="1" spans="1:22" ht="24" thickBot="1" x14ac:dyDescent="0.4">
      <c r="A1" s="186"/>
    </row>
    <row r="2" spans="1:22" x14ac:dyDescent="0.35">
      <c r="E2" s="130" t="s">
        <v>291</v>
      </c>
      <c r="F2" s="131"/>
      <c r="G2" s="131" t="s">
        <v>104</v>
      </c>
      <c r="H2" s="131"/>
      <c r="I2" s="132"/>
    </row>
    <row r="3" spans="1:22" x14ac:dyDescent="0.35">
      <c r="E3" s="133" t="s">
        <v>292</v>
      </c>
      <c r="F3" s="134" t="s">
        <v>106</v>
      </c>
      <c r="G3" s="135" t="s">
        <v>275</v>
      </c>
      <c r="H3" s="134"/>
      <c r="I3" s="136"/>
    </row>
    <row r="4" spans="1:22" ht="15" thickBot="1" x14ac:dyDescent="0.4">
      <c r="A4" t="s">
        <v>168</v>
      </c>
      <c r="B4" t="s">
        <v>169</v>
      </c>
      <c r="E4" s="137"/>
      <c r="F4" s="138" t="s">
        <v>276</v>
      </c>
      <c r="G4" s="139"/>
      <c r="H4" s="138" t="s">
        <v>112</v>
      </c>
      <c r="I4" s="140"/>
    </row>
    <row r="5" spans="1:22" ht="31.5" customHeight="1" x14ac:dyDescent="0.35">
      <c r="A5" s="141" t="s">
        <v>293</v>
      </c>
      <c r="B5" t="s">
        <v>294</v>
      </c>
    </row>
    <row r="6" spans="1:22" ht="28.4" customHeight="1" x14ac:dyDescent="0.35">
      <c r="A6" s="142" t="s">
        <v>295</v>
      </c>
      <c r="B6" s="169"/>
      <c r="C6" s="142" t="s">
        <v>57</v>
      </c>
      <c r="D6" s="142" t="s">
        <v>78</v>
      </c>
      <c r="E6" s="142" t="s">
        <v>58</v>
      </c>
      <c r="F6" s="142" t="s">
        <v>79</v>
      </c>
      <c r="G6" s="143" t="s">
        <v>80</v>
      </c>
      <c r="H6" s="143" t="s">
        <v>81</v>
      </c>
      <c r="I6" s="143" t="s">
        <v>59</v>
      </c>
      <c r="J6" s="142" t="s">
        <v>82</v>
      </c>
      <c r="K6" s="142" t="s">
        <v>75</v>
      </c>
      <c r="L6" s="142" t="s">
        <v>83</v>
      </c>
      <c r="M6" s="142" t="s">
        <v>60</v>
      </c>
      <c r="N6" s="195" t="s">
        <v>61</v>
      </c>
      <c r="O6" s="195" t="s">
        <v>62</v>
      </c>
      <c r="P6" s="201" t="s">
        <v>63</v>
      </c>
      <c r="Q6" s="142" t="s">
        <v>84</v>
      </c>
      <c r="R6" s="142" t="s">
        <v>85</v>
      </c>
      <c r="S6" s="142" t="s">
        <v>86</v>
      </c>
      <c r="T6" s="142" t="s">
        <v>87</v>
      </c>
      <c r="U6" s="142" t="s">
        <v>65</v>
      </c>
      <c r="V6" s="142" t="s">
        <v>35</v>
      </c>
    </row>
    <row r="7" spans="1:22" x14ac:dyDescent="0.35">
      <c r="A7" s="252" t="s">
        <v>137</v>
      </c>
      <c r="B7" s="252"/>
      <c r="C7" s="145" t="s">
        <v>140</v>
      </c>
      <c r="D7" s="145" t="s">
        <v>141</v>
      </c>
      <c r="E7" s="146" t="s">
        <v>138</v>
      </c>
      <c r="F7" s="145" t="s">
        <v>215</v>
      </c>
      <c r="G7" s="145" t="s">
        <v>142</v>
      </c>
      <c r="H7" s="145" t="s">
        <v>143</v>
      </c>
      <c r="I7" s="145" t="s">
        <v>144</v>
      </c>
      <c r="J7" s="145" t="s">
        <v>145</v>
      </c>
      <c r="K7" s="145" t="s">
        <v>146</v>
      </c>
      <c r="L7" s="145" t="s">
        <v>147</v>
      </c>
      <c r="M7" s="145" t="s">
        <v>148</v>
      </c>
      <c r="N7" s="145" t="s">
        <v>149</v>
      </c>
      <c r="O7" s="145" t="s">
        <v>150</v>
      </c>
      <c r="P7" s="145" t="s">
        <v>151</v>
      </c>
      <c r="Q7" s="145" t="s">
        <v>152</v>
      </c>
      <c r="R7" s="145" t="s">
        <v>153</v>
      </c>
      <c r="S7" s="145" t="s">
        <v>154</v>
      </c>
      <c r="T7" s="145" t="s">
        <v>155</v>
      </c>
      <c r="U7" s="145" t="s">
        <v>157</v>
      </c>
      <c r="V7" s="145" t="s">
        <v>279</v>
      </c>
    </row>
    <row r="8" spans="1:22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2</v>
      </c>
      <c r="K8" s="147">
        <v>1</v>
      </c>
      <c r="L8" s="147">
        <v>2</v>
      </c>
      <c r="M8" s="147">
        <v>1</v>
      </c>
      <c r="N8" s="148">
        <v>1</v>
      </c>
      <c r="O8" s="148">
        <v>1</v>
      </c>
      <c r="P8" s="148">
        <v>1</v>
      </c>
      <c r="Q8" s="147">
        <v>1</v>
      </c>
      <c r="R8" s="147">
        <v>1</v>
      </c>
      <c r="S8" s="147">
        <v>1</v>
      </c>
      <c r="T8" s="147">
        <v>4</v>
      </c>
      <c r="U8" s="147">
        <v>1</v>
      </c>
      <c r="V8" s="149" t="s">
        <v>296</v>
      </c>
    </row>
    <row r="9" spans="1:22" x14ac:dyDescent="0.35">
      <c r="A9" s="150" t="s">
        <v>159</v>
      </c>
      <c r="B9" s="151"/>
      <c r="C9" s="197" t="s">
        <v>225</v>
      </c>
      <c r="D9" s="197" t="s">
        <v>225</v>
      </c>
      <c r="E9" s="152"/>
      <c r="F9" s="197" t="s">
        <v>225</v>
      </c>
      <c r="G9" s="152"/>
      <c r="H9" s="153" t="s">
        <v>160</v>
      </c>
      <c r="I9" s="152"/>
      <c r="J9" s="197" t="s">
        <v>225</v>
      </c>
      <c r="K9" s="154"/>
      <c r="L9" s="153"/>
      <c r="M9" s="152"/>
      <c r="N9" s="153" t="s">
        <v>160</v>
      </c>
      <c r="O9" s="197" t="s">
        <v>160</v>
      </c>
      <c r="P9" s="153" t="s">
        <v>160</v>
      </c>
      <c r="Q9" s="154"/>
      <c r="R9" s="153"/>
      <c r="S9" s="153" t="s">
        <v>160</v>
      </c>
      <c r="T9" s="152"/>
      <c r="U9" s="152"/>
      <c r="V9" s="153" t="s">
        <v>225</v>
      </c>
    </row>
    <row r="10" spans="1:22" x14ac:dyDescent="0.35">
      <c r="A10" s="155" t="s">
        <v>161</v>
      </c>
      <c r="B10" s="156" t="s">
        <v>162</v>
      </c>
      <c r="C10" s="162">
        <v>0</v>
      </c>
      <c r="D10" s="162">
        <v>0</v>
      </c>
      <c r="E10" s="157"/>
      <c r="F10" s="162">
        <v>0</v>
      </c>
      <c r="G10" s="157"/>
      <c r="H10" s="158">
        <v>0</v>
      </c>
      <c r="I10" s="157"/>
      <c r="J10" s="162">
        <v>0</v>
      </c>
      <c r="K10" s="157"/>
      <c r="L10" s="158"/>
      <c r="M10" s="157"/>
      <c r="N10" s="158">
        <v>0</v>
      </c>
      <c r="O10" s="162">
        <v>0</v>
      </c>
      <c r="P10" s="158">
        <v>0</v>
      </c>
      <c r="Q10" s="157"/>
      <c r="R10" s="158"/>
      <c r="S10" s="158">
        <v>0</v>
      </c>
      <c r="T10" s="157"/>
      <c r="U10" s="157"/>
      <c r="V10" s="158">
        <v>0</v>
      </c>
    </row>
    <row r="11" spans="1:22" x14ac:dyDescent="0.35">
      <c r="A11" s="155" t="s">
        <v>161</v>
      </c>
      <c r="B11" s="156" t="s">
        <v>163</v>
      </c>
      <c r="C11" s="162">
        <v>29913</v>
      </c>
      <c r="D11" s="162">
        <v>29913</v>
      </c>
      <c r="E11" s="157">
        <v>32616</v>
      </c>
      <c r="F11" s="162">
        <v>29913</v>
      </c>
      <c r="G11" s="157"/>
      <c r="H11" s="158">
        <v>24119</v>
      </c>
      <c r="I11" s="157"/>
      <c r="J11" s="162">
        <v>29913</v>
      </c>
      <c r="K11" s="157"/>
      <c r="L11" s="158"/>
      <c r="M11" s="157"/>
      <c r="N11" s="158">
        <v>18147</v>
      </c>
      <c r="O11" s="162">
        <v>7344</v>
      </c>
      <c r="P11" s="158">
        <v>12779</v>
      </c>
      <c r="Q11" s="157"/>
      <c r="R11" s="158"/>
      <c r="S11" s="158">
        <v>18147</v>
      </c>
      <c r="T11" s="157"/>
      <c r="U11" s="157"/>
      <c r="V11" s="158">
        <v>12779</v>
      </c>
    </row>
    <row r="12" spans="1:22" x14ac:dyDescent="0.35">
      <c r="A12" s="155" t="s">
        <v>164</v>
      </c>
      <c r="B12" s="156"/>
      <c r="C12" s="197">
        <v>44097</v>
      </c>
      <c r="D12" s="197">
        <v>44097</v>
      </c>
      <c r="E12" s="157" t="s">
        <v>297</v>
      </c>
      <c r="F12" s="197">
        <v>44097</v>
      </c>
      <c r="G12" s="157"/>
      <c r="H12" s="159">
        <v>43834</v>
      </c>
      <c r="I12" s="159"/>
      <c r="J12" s="197">
        <v>44097</v>
      </c>
      <c r="K12" s="159"/>
      <c r="L12" s="159"/>
      <c r="M12" s="159"/>
      <c r="N12" s="159">
        <v>43484</v>
      </c>
      <c r="O12" s="198">
        <v>42997</v>
      </c>
      <c r="P12" s="159">
        <v>43230</v>
      </c>
      <c r="Q12" s="159"/>
      <c r="R12" s="159"/>
      <c r="S12" s="159">
        <v>43484</v>
      </c>
      <c r="T12" s="159"/>
      <c r="U12" s="159"/>
      <c r="V12" s="159">
        <v>43230</v>
      </c>
    </row>
    <row r="13" spans="1:22" ht="29" x14ac:dyDescent="0.35">
      <c r="A13" s="160" t="s">
        <v>165</v>
      </c>
      <c r="B13" s="161"/>
      <c r="C13" s="162" t="s">
        <v>247</v>
      </c>
      <c r="D13" s="162" t="s">
        <v>247</v>
      </c>
      <c r="E13" s="157" t="s">
        <v>273</v>
      </c>
      <c r="F13" s="162" t="s">
        <v>247</v>
      </c>
      <c r="G13" s="157"/>
      <c r="H13" s="162" t="s">
        <v>166</v>
      </c>
      <c r="I13" s="157"/>
      <c r="J13" s="162" t="s">
        <v>247</v>
      </c>
      <c r="K13" s="157"/>
      <c r="L13" s="162"/>
      <c r="M13" s="157"/>
      <c r="N13" s="162" t="s">
        <v>166</v>
      </c>
      <c r="O13" s="162" t="s">
        <v>166</v>
      </c>
      <c r="P13" s="162" t="s">
        <v>166</v>
      </c>
      <c r="Q13" s="157"/>
      <c r="R13" s="162"/>
      <c r="S13" s="162" t="s">
        <v>166</v>
      </c>
      <c r="T13" s="157"/>
      <c r="U13" s="157"/>
      <c r="V13" s="162" t="s">
        <v>247</v>
      </c>
    </row>
    <row r="14" spans="1:22" x14ac:dyDescent="0.35">
      <c r="A14" s="225" t="s">
        <v>167</v>
      </c>
      <c r="B14" s="225"/>
      <c r="C14" s="225">
        <f>IFERROR(C11-C10,"")</f>
        <v>29913</v>
      </c>
      <c r="D14" s="225">
        <f t="shared" ref="D14:V14" si="0">IFERROR(D11-D10,"")</f>
        <v>29913</v>
      </c>
      <c r="E14" s="225">
        <f t="shared" si="0"/>
        <v>32616</v>
      </c>
      <c r="F14" s="225">
        <f t="shared" si="0"/>
        <v>29913</v>
      </c>
      <c r="G14" s="225">
        <f t="shared" si="0"/>
        <v>0</v>
      </c>
      <c r="H14" s="225">
        <f t="shared" si="0"/>
        <v>24119</v>
      </c>
      <c r="I14" s="225">
        <f t="shared" si="0"/>
        <v>0</v>
      </c>
      <c r="J14" s="225">
        <f t="shared" si="0"/>
        <v>29913</v>
      </c>
      <c r="K14" s="225">
        <f t="shared" si="0"/>
        <v>0</v>
      </c>
      <c r="L14" s="225">
        <f t="shared" si="0"/>
        <v>0</v>
      </c>
      <c r="M14" s="225">
        <f t="shared" si="0"/>
        <v>0</v>
      </c>
      <c r="N14" s="230">
        <f t="shared" si="0"/>
        <v>18147</v>
      </c>
      <c r="O14" s="231">
        <f t="shared" si="0"/>
        <v>7344</v>
      </c>
      <c r="P14" s="230">
        <f t="shared" si="0"/>
        <v>12779</v>
      </c>
      <c r="Q14" s="225">
        <f t="shared" si="0"/>
        <v>0</v>
      </c>
      <c r="R14" s="225">
        <f t="shared" si="0"/>
        <v>0</v>
      </c>
      <c r="S14" s="225">
        <f t="shared" si="0"/>
        <v>18147</v>
      </c>
      <c r="T14" s="225">
        <f t="shared" si="0"/>
        <v>0</v>
      </c>
      <c r="U14" s="225">
        <f t="shared" si="0"/>
        <v>0</v>
      </c>
      <c r="V14" s="225">
        <f t="shared" si="0"/>
        <v>12779</v>
      </c>
    </row>
    <row r="15" spans="1:22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196"/>
      <c r="O15" s="200"/>
      <c r="P15" s="196"/>
      <c r="Q15" s="65"/>
      <c r="R15" s="65"/>
      <c r="S15" s="65"/>
      <c r="T15" s="65"/>
      <c r="U15" s="65"/>
      <c r="V15" s="65"/>
    </row>
    <row r="16" spans="1:22" x14ac:dyDescent="0.35">
      <c r="A16" s="150" t="s">
        <v>159</v>
      </c>
      <c r="B16" s="151"/>
      <c r="C16" s="163"/>
      <c r="D16" s="154"/>
      <c r="E16" s="154"/>
      <c r="F16" s="154"/>
      <c r="G16" s="154"/>
      <c r="H16" s="164"/>
      <c r="I16" s="154"/>
      <c r="J16" s="152"/>
      <c r="K16" s="154"/>
      <c r="L16" s="154"/>
      <c r="M16" s="154"/>
      <c r="N16" s="153">
        <v>43484</v>
      </c>
      <c r="O16" s="197">
        <v>42997</v>
      </c>
      <c r="P16" s="153">
        <v>43230</v>
      </c>
      <c r="Q16" s="154"/>
      <c r="R16" s="154"/>
      <c r="S16" s="153">
        <v>43484</v>
      </c>
      <c r="T16" s="154"/>
      <c r="U16" s="154"/>
      <c r="V16" s="153">
        <v>43230</v>
      </c>
    </row>
    <row r="17" spans="1:22" x14ac:dyDescent="0.35">
      <c r="A17" s="155" t="s">
        <v>161</v>
      </c>
      <c r="B17" s="156" t="s">
        <v>162</v>
      </c>
      <c r="C17" s="165"/>
      <c r="D17" s="157"/>
      <c r="E17" s="157"/>
      <c r="F17" s="157"/>
      <c r="G17" s="157"/>
      <c r="H17" s="153"/>
      <c r="I17" s="157"/>
      <c r="J17" s="157"/>
      <c r="K17" s="157"/>
      <c r="L17" s="157"/>
      <c r="M17" s="157"/>
      <c r="N17" s="158">
        <v>18147</v>
      </c>
      <c r="O17" s="162">
        <v>7344</v>
      </c>
      <c r="P17" s="158">
        <v>12779</v>
      </c>
      <c r="Q17" s="157"/>
      <c r="R17" s="157"/>
      <c r="S17" s="158">
        <v>18147</v>
      </c>
      <c r="T17" s="157"/>
      <c r="U17" s="157"/>
      <c r="V17" s="158">
        <v>12779</v>
      </c>
    </row>
    <row r="18" spans="1:22" x14ac:dyDescent="0.35">
      <c r="A18" s="155" t="s">
        <v>161</v>
      </c>
      <c r="B18" s="156" t="s">
        <v>163</v>
      </c>
      <c r="C18" s="165"/>
      <c r="D18" s="157"/>
      <c r="E18" s="157"/>
      <c r="F18" s="157"/>
      <c r="G18" s="157"/>
      <c r="H18" s="158"/>
      <c r="I18" s="157"/>
      <c r="J18" s="157"/>
      <c r="K18" s="157"/>
      <c r="L18" s="157"/>
      <c r="M18" s="157"/>
      <c r="N18" s="158">
        <v>27441</v>
      </c>
      <c r="O18" s="162">
        <v>12779</v>
      </c>
      <c r="P18" s="158">
        <v>29555</v>
      </c>
      <c r="Q18" s="157"/>
      <c r="R18" s="157"/>
      <c r="S18" s="158">
        <v>27441</v>
      </c>
      <c r="T18" s="157"/>
      <c r="U18" s="157"/>
      <c r="V18" s="158">
        <v>29555</v>
      </c>
    </row>
    <row r="19" spans="1:22" x14ac:dyDescent="0.35">
      <c r="A19" s="155" t="s">
        <v>164</v>
      </c>
      <c r="B19" s="156"/>
      <c r="C19" s="165"/>
      <c r="D19" s="157"/>
      <c r="E19" s="157"/>
      <c r="F19" s="157"/>
      <c r="G19" s="157"/>
      <c r="H19" s="164"/>
      <c r="I19" s="157"/>
      <c r="J19" s="166"/>
      <c r="K19" s="157"/>
      <c r="L19" s="157"/>
      <c r="M19" s="157"/>
      <c r="N19" s="153">
        <v>43994</v>
      </c>
      <c r="O19" s="198">
        <v>43230</v>
      </c>
      <c r="P19" s="159">
        <v>43929</v>
      </c>
      <c r="Q19" s="157"/>
      <c r="R19" s="157"/>
      <c r="S19" s="153">
        <v>43994</v>
      </c>
      <c r="T19" s="157"/>
      <c r="U19" s="157"/>
      <c r="V19" s="159">
        <v>43929</v>
      </c>
    </row>
    <row r="20" spans="1:22" ht="29" x14ac:dyDescent="0.35">
      <c r="A20" s="160" t="s">
        <v>165</v>
      </c>
      <c r="B20" s="167"/>
      <c r="C20" s="165"/>
      <c r="D20" s="157"/>
      <c r="E20" s="157"/>
      <c r="F20" s="157"/>
      <c r="G20" s="157"/>
      <c r="H20" s="162"/>
      <c r="I20" s="157"/>
      <c r="J20" s="157"/>
      <c r="K20" s="157"/>
      <c r="L20" s="157"/>
      <c r="M20" s="157"/>
      <c r="N20" s="162" t="s">
        <v>247</v>
      </c>
      <c r="O20" s="162" t="s">
        <v>166</v>
      </c>
      <c r="P20" s="162" t="s">
        <v>166</v>
      </c>
      <c r="Q20" s="157"/>
      <c r="R20" s="157"/>
      <c r="S20" s="162" t="s">
        <v>247</v>
      </c>
      <c r="T20" s="157"/>
      <c r="U20" s="157"/>
      <c r="V20" s="162" t="s">
        <v>166</v>
      </c>
    </row>
    <row r="21" spans="1:22" x14ac:dyDescent="0.35">
      <c r="A21" s="225" t="s">
        <v>167</v>
      </c>
      <c r="B21" s="225"/>
      <c r="C21" s="225">
        <f>IFERROR(C18-C17,"")</f>
        <v>0</v>
      </c>
      <c r="D21" s="225">
        <f t="shared" ref="D21:V21" si="1">IFERROR(D18-D17,"")</f>
        <v>0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0</v>
      </c>
      <c r="J21" s="225">
        <f t="shared" si="1"/>
        <v>0</v>
      </c>
      <c r="K21" s="225">
        <f t="shared" si="1"/>
        <v>0</v>
      </c>
      <c r="L21" s="225">
        <f t="shared" si="1"/>
        <v>0</v>
      </c>
      <c r="M21" s="225">
        <f t="shared" si="1"/>
        <v>0</v>
      </c>
      <c r="N21" s="230">
        <f t="shared" si="1"/>
        <v>9294</v>
      </c>
      <c r="O21" s="231">
        <f>IFERROR(O25-O24,"")</f>
        <v>16776</v>
      </c>
      <c r="P21" s="230">
        <f t="shared" si="1"/>
        <v>16776</v>
      </c>
      <c r="Q21" s="225">
        <f t="shared" si="1"/>
        <v>0</v>
      </c>
      <c r="R21" s="225">
        <f t="shared" si="1"/>
        <v>0</v>
      </c>
      <c r="S21" s="225">
        <f t="shared" si="1"/>
        <v>9294</v>
      </c>
      <c r="T21" s="225">
        <f t="shared" si="1"/>
        <v>0</v>
      </c>
      <c r="U21" s="225">
        <f t="shared" si="1"/>
        <v>0</v>
      </c>
      <c r="V21" s="225">
        <f t="shared" si="1"/>
        <v>16776</v>
      </c>
    </row>
    <row r="22" spans="1:22" ht="16.399999999999999" customHeight="1" x14ac:dyDescent="0.35">
      <c r="A22" s="65" t="s">
        <v>2</v>
      </c>
      <c r="B22" s="65"/>
      <c r="C22" s="65">
        <f>AVERAGE(C14,C21)</f>
        <v>14956.5</v>
      </c>
      <c r="D22" s="65">
        <f t="shared" ref="D22:V22" si="2">AVERAGE(D14,D21)</f>
        <v>14956.5</v>
      </c>
      <c r="E22" s="65">
        <f t="shared" si="2"/>
        <v>16308</v>
      </c>
      <c r="F22" s="65">
        <f t="shared" si="2"/>
        <v>14956.5</v>
      </c>
      <c r="G22" s="65">
        <f t="shared" si="2"/>
        <v>0</v>
      </c>
      <c r="H22" s="65">
        <f t="shared" si="2"/>
        <v>12059.5</v>
      </c>
      <c r="I22" s="65">
        <f t="shared" si="2"/>
        <v>0</v>
      </c>
      <c r="J22" s="65">
        <f t="shared" si="2"/>
        <v>14956.5</v>
      </c>
      <c r="K22" s="65">
        <f t="shared" si="2"/>
        <v>0</v>
      </c>
      <c r="L22" s="65">
        <f t="shared" si="2"/>
        <v>0</v>
      </c>
      <c r="M22" s="65">
        <f t="shared" si="2"/>
        <v>0</v>
      </c>
      <c r="N22" s="196">
        <f t="shared" si="2"/>
        <v>13720.5</v>
      </c>
      <c r="O22" s="200">
        <f t="shared" si="2"/>
        <v>12060</v>
      </c>
      <c r="P22" s="196">
        <f t="shared" si="2"/>
        <v>14777.5</v>
      </c>
      <c r="Q22" s="65">
        <f t="shared" si="2"/>
        <v>0</v>
      </c>
      <c r="R22" s="65">
        <f t="shared" si="2"/>
        <v>0</v>
      </c>
      <c r="S22" s="65">
        <f t="shared" si="2"/>
        <v>13720.5</v>
      </c>
      <c r="T22" s="65">
        <f t="shared" si="2"/>
        <v>0</v>
      </c>
      <c r="U22" s="65">
        <f t="shared" si="2"/>
        <v>0</v>
      </c>
      <c r="V22" s="65">
        <f t="shared" si="2"/>
        <v>14777.5</v>
      </c>
    </row>
    <row r="23" spans="1:22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3">
        <v>43994</v>
      </c>
      <c r="O23" s="197">
        <v>43230</v>
      </c>
      <c r="P23" s="153">
        <v>43959</v>
      </c>
      <c r="Q23" s="168"/>
      <c r="R23" s="154"/>
      <c r="S23" s="152">
        <v>43994</v>
      </c>
      <c r="T23" s="154"/>
      <c r="U23" s="154"/>
      <c r="V23" s="197">
        <v>43959</v>
      </c>
    </row>
    <row r="24" spans="1:22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8">
        <v>27441</v>
      </c>
      <c r="O24" s="162">
        <v>12779</v>
      </c>
      <c r="P24" s="162">
        <v>26601</v>
      </c>
      <c r="Q24" s="157"/>
      <c r="R24" s="157"/>
      <c r="S24" s="157">
        <v>27441</v>
      </c>
      <c r="T24" s="157"/>
      <c r="U24" s="157"/>
      <c r="V24" s="162">
        <v>26601</v>
      </c>
    </row>
    <row r="25" spans="1:22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8">
        <v>32616</v>
      </c>
      <c r="O25" s="162">
        <v>29555</v>
      </c>
      <c r="P25" s="162">
        <v>29913</v>
      </c>
      <c r="Q25" s="157"/>
      <c r="R25" s="157"/>
      <c r="S25" s="157">
        <v>32616</v>
      </c>
      <c r="T25" s="157"/>
      <c r="U25" s="157"/>
      <c r="V25" s="162">
        <v>29913</v>
      </c>
    </row>
    <row r="26" spans="1:22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8" t="s">
        <v>297</v>
      </c>
      <c r="O26" s="198">
        <v>43929</v>
      </c>
      <c r="P26" s="153">
        <v>44097</v>
      </c>
      <c r="Q26" s="157"/>
      <c r="R26" s="157"/>
      <c r="S26" s="157" t="s">
        <v>297</v>
      </c>
      <c r="T26" s="157"/>
      <c r="U26" s="157"/>
      <c r="V26" s="197">
        <v>44097</v>
      </c>
    </row>
    <row r="27" spans="1:22" ht="29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8" t="s">
        <v>273</v>
      </c>
      <c r="O27" s="162" t="s">
        <v>166</v>
      </c>
      <c r="P27" s="162" t="s">
        <v>247</v>
      </c>
      <c r="Q27" s="157"/>
      <c r="R27" s="157"/>
      <c r="S27" s="157" t="s">
        <v>273</v>
      </c>
      <c r="T27" s="157"/>
      <c r="U27" s="157"/>
      <c r="V27" s="162" t="s">
        <v>247</v>
      </c>
    </row>
    <row r="28" spans="1:22" x14ac:dyDescent="0.35">
      <c r="A28" s="225" t="s">
        <v>167</v>
      </c>
      <c r="B28" s="225"/>
      <c r="C28" s="225">
        <f>IFERROR(C25-C24,"")</f>
        <v>0</v>
      </c>
      <c r="D28" s="225">
        <f t="shared" ref="D28:V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30">
        <f t="shared" si="3"/>
        <v>5175</v>
      </c>
      <c r="O28" s="231" t="str">
        <f>IFERROR(#REF!-#REF!,"")</f>
        <v/>
      </c>
      <c r="P28" s="230">
        <f t="shared" si="3"/>
        <v>3312</v>
      </c>
      <c r="Q28" s="225">
        <f t="shared" si="3"/>
        <v>0</v>
      </c>
      <c r="R28" s="225">
        <f t="shared" si="3"/>
        <v>0</v>
      </c>
      <c r="S28" s="225">
        <f t="shared" si="3"/>
        <v>5175</v>
      </c>
      <c r="T28" s="225">
        <f t="shared" si="3"/>
        <v>0</v>
      </c>
      <c r="U28" s="225">
        <f t="shared" si="3"/>
        <v>0</v>
      </c>
      <c r="V28" s="225">
        <f t="shared" si="3"/>
        <v>3312</v>
      </c>
    </row>
    <row r="29" spans="1:22" ht="16.399999999999999" customHeight="1" x14ac:dyDescent="0.35">
      <c r="A29" s="65" t="s">
        <v>2</v>
      </c>
      <c r="B29" s="65"/>
      <c r="C29" s="65">
        <f>AVERAGE(C21,C28,C14)</f>
        <v>9971</v>
      </c>
      <c r="D29" s="65">
        <f t="shared" ref="D29:V29" si="4">AVERAGE(D21,D28,D14)</f>
        <v>9971</v>
      </c>
      <c r="E29" s="65">
        <f t="shared" si="4"/>
        <v>10872</v>
      </c>
      <c r="F29" s="65">
        <f t="shared" si="4"/>
        <v>9971</v>
      </c>
      <c r="G29" s="65">
        <f t="shared" si="4"/>
        <v>0</v>
      </c>
      <c r="H29" s="65">
        <f t="shared" si="4"/>
        <v>8039.666666666667</v>
      </c>
      <c r="I29" s="65">
        <f t="shared" si="4"/>
        <v>0</v>
      </c>
      <c r="J29" s="65">
        <f t="shared" si="4"/>
        <v>9971</v>
      </c>
      <c r="K29" s="65">
        <f t="shared" si="4"/>
        <v>0</v>
      </c>
      <c r="L29" s="65">
        <f t="shared" si="4"/>
        <v>0</v>
      </c>
      <c r="M29" s="65">
        <f t="shared" si="4"/>
        <v>0</v>
      </c>
      <c r="N29" s="196">
        <f t="shared" si="4"/>
        <v>10872</v>
      </c>
      <c r="O29" s="200">
        <f t="shared" si="4"/>
        <v>12060</v>
      </c>
      <c r="P29" s="196">
        <f t="shared" si="4"/>
        <v>10955.666666666666</v>
      </c>
      <c r="Q29" s="65">
        <f t="shared" si="4"/>
        <v>0</v>
      </c>
      <c r="R29" s="65">
        <f t="shared" si="4"/>
        <v>0</v>
      </c>
      <c r="S29" s="65">
        <f t="shared" si="4"/>
        <v>10872</v>
      </c>
      <c r="T29" s="65">
        <f t="shared" si="4"/>
        <v>0</v>
      </c>
      <c r="U29" s="65">
        <f t="shared" si="4"/>
        <v>0</v>
      </c>
      <c r="V29" s="65">
        <f t="shared" si="4"/>
        <v>10955.666666666666</v>
      </c>
    </row>
    <row r="30" spans="1:22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3"/>
      <c r="O30" s="197">
        <v>43959</v>
      </c>
      <c r="P30" s="153">
        <v>44097</v>
      </c>
      <c r="Q30" s="154"/>
      <c r="R30" s="154"/>
      <c r="S30" s="154" t="s">
        <v>297</v>
      </c>
      <c r="T30" s="154"/>
      <c r="U30" s="154"/>
      <c r="V30" s="154"/>
    </row>
    <row r="31" spans="1:22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8"/>
      <c r="O31" s="162">
        <v>26601</v>
      </c>
      <c r="P31" s="158">
        <v>29913</v>
      </c>
      <c r="Q31" s="157"/>
      <c r="R31" s="157"/>
      <c r="S31" s="157">
        <v>32616</v>
      </c>
      <c r="T31" s="157"/>
      <c r="U31" s="157"/>
      <c r="V31" s="157"/>
    </row>
    <row r="32" spans="1:22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8"/>
      <c r="O32" s="158">
        <v>31021</v>
      </c>
      <c r="P32" s="158">
        <v>32616</v>
      </c>
      <c r="Q32" s="157"/>
      <c r="R32" s="157"/>
      <c r="S32" s="157">
        <v>35728</v>
      </c>
      <c r="T32" s="157"/>
      <c r="U32" s="157"/>
      <c r="V32" s="157"/>
    </row>
    <row r="33" spans="1:22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8"/>
      <c r="O33" s="197">
        <v>44048</v>
      </c>
      <c r="P33" s="158" t="s">
        <v>297</v>
      </c>
      <c r="Q33" s="157"/>
      <c r="R33" s="157"/>
      <c r="S33" s="157" t="s">
        <v>242</v>
      </c>
      <c r="T33" s="157"/>
      <c r="U33" s="157"/>
      <c r="V33" s="157"/>
    </row>
    <row r="34" spans="1:22" ht="29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8"/>
      <c r="O34" s="162" t="s">
        <v>247</v>
      </c>
      <c r="P34" s="158" t="s">
        <v>273</v>
      </c>
      <c r="Q34" s="157"/>
      <c r="R34" s="157"/>
      <c r="S34" s="157"/>
      <c r="T34" s="157"/>
      <c r="U34" s="157"/>
      <c r="V34" s="157"/>
    </row>
    <row r="35" spans="1:22" x14ac:dyDescent="0.35">
      <c r="A35" s="225" t="s">
        <v>167</v>
      </c>
      <c r="B35" s="225"/>
      <c r="C35" s="225">
        <f>IFERROR(C32-C31,"")</f>
        <v>0</v>
      </c>
      <c r="D35" s="225">
        <f t="shared" ref="D35:V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30">
        <f t="shared" si="5"/>
        <v>0</v>
      </c>
      <c r="O35" s="231">
        <f t="shared" si="5"/>
        <v>4420</v>
      </c>
      <c r="P35" s="230">
        <f t="shared" si="5"/>
        <v>2703</v>
      </c>
      <c r="Q35" s="225">
        <f t="shared" si="5"/>
        <v>0</v>
      </c>
      <c r="R35" s="225">
        <f t="shared" si="5"/>
        <v>0</v>
      </c>
      <c r="S35" s="225">
        <f t="shared" si="5"/>
        <v>3112</v>
      </c>
      <c r="T35" s="225">
        <f t="shared" si="5"/>
        <v>0</v>
      </c>
      <c r="U35" s="225">
        <f t="shared" si="5"/>
        <v>0</v>
      </c>
      <c r="V35" s="225">
        <f t="shared" si="5"/>
        <v>0</v>
      </c>
    </row>
    <row r="36" spans="1:22" ht="16.399999999999999" customHeight="1" x14ac:dyDescent="0.35">
      <c r="A36" s="65" t="s">
        <v>2</v>
      </c>
      <c r="B36" s="65"/>
      <c r="C36" s="65">
        <f>AVERAGE(C28,C35,C21,C14)</f>
        <v>7478.25</v>
      </c>
      <c r="D36" s="65">
        <f t="shared" ref="D36:V36" si="6">AVERAGE(D28,D35,D21,D14)</f>
        <v>7478.25</v>
      </c>
      <c r="E36" s="65">
        <f t="shared" si="6"/>
        <v>8154</v>
      </c>
      <c r="F36" s="65">
        <f t="shared" si="6"/>
        <v>7478.25</v>
      </c>
      <c r="G36" s="65">
        <f t="shared" si="6"/>
        <v>0</v>
      </c>
      <c r="H36" s="65">
        <f t="shared" si="6"/>
        <v>6029.75</v>
      </c>
      <c r="I36" s="65">
        <f t="shared" si="6"/>
        <v>0</v>
      </c>
      <c r="J36" s="65">
        <f t="shared" si="6"/>
        <v>7478.25</v>
      </c>
      <c r="K36" s="65">
        <f t="shared" si="6"/>
        <v>0</v>
      </c>
      <c r="L36" s="65">
        <f t="shared" si="6"/>
        <v>0</v>
      </c>
      <c r="M36" s="65">
        <f t="shared" si="6"/>
        <v>0</v>
      </c>
      <c r="N36" s="196">
        <f t="shared" si="6"/>
        <v>8154</v>
      </c>
      <c r="O36" s="200">
        <f t="shared" si="6"/>
        <v>9513.3333333333339</v>
      </c>
      <c r="P36" s="196">
        <f t="shared" si="6"/>
        <v>8892.5</v>
      </c>
      <c r="Q36" s="65">
        <f t="shared" si="6"/>
        <v>0</v>
      </c>
      <c r="R36" s="65">
        <f t="shared" si="6"/>
        <v>0</v>
      </c>
      <c r="S36" s="65">
        <f t="shared" si="6"/>
        <v>8932</v>
      </c>
      <c r="T36" s="65">
        <f t="shared" si="6"/>
        <v>0</v>
      </c>
      <c r="U36" s="65">
        <f t="shared" si="6"/>
        <v>0</v>
      </c>
      <c r="V36" s="65">
        <f t="shared" si="6"/>
        <v>8216.75</v>
      </c>
    </row>
    <row r="37" spans="1:22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3"/>
      <c r="O37" s="197">
        <v>44048</v>
      </c>
      <c r="P37" s="158" t="s">
        <v>297</v>
      </c>
      <c r="Q37" s="154"/>
      <c r="R37" s="154"/>
      <c r="S37" s="154"/>
      <c r="T37" s="154"/>
      <c r="U37" s="154"/>
      <c r="V37" s="154"/>
    </row>
    <row r="38" spans="1:22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8"/>
      <c r="O38" s="162">
        <v>26601</v>
      </c>
      <c r="P38" s="158">
        <v>32616</v>
      </c>
      <c r="Q38" s="157"/>
      <c r="R38" s="157"/>
      <c r="S38" s="157"/>
      <c r="T38" s="157"/>
      <c r="U38" s="157"/>
      <c r="V38" s="157"/>
    </row>
    <row r="39" spans="1:22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8"/>
      <c r="O39" s="162">
        <v>29913</v>
      </c>
      <c r="P39" s="158">
        <v>35728</v>
      </c>
      <c r="Q39" s="157"/>
      <c r="R39" s="157"/>
      <c r="S39" s="157"/>
      <c r="T39" s="157"/>
      <c r="U39" s="157"/>
      <c r="V39" s="157"/>
    </row>
    <row r="40" spans="1:22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8"/>
      <c r="O40" s="197">
        <v>44097</v>
      </c>
      <c r="P40" s="158" t="s">
        <v>242</v>
      </c>
      <c r="Q40" s="157"/>
      <c r="R40" s="157"/>
      <c r="S40" s="157"/>
      <c r="T40" s="157"/>
      <c r="U40" s="157"/>
      <c r="V40" s="157"/>
    </row>
    <row r="41" spans="1:22" ht="29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8"/>
      <c r="O41" s="162" t="s">
        <v>247</v>
      </c>
      <c r="P41" s="158"/>
      <c r="Q41" s="157"/>
      <c r="R41" s="157"/>
      <c r="S41" s="157"/>
      <c r="T41" s="157"/>
      <c r="U41" s="157"/>
      <c r="V41" s="157"/>
    </row>
    <row r="42" spans="1:22" x14ac:dyDescent="0.35">
      <c r="A42" s="225" t="s">
        <v>167</v>
      </c>
      <c r="B42" s="225"/>
      <c r="C42" s="225">
        <f>IFERROR(C39-C38,"")</f>
        <v>0</v>
      </c>
      <c r="D42" s="225">
        <f t="shared" ref="D42:V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30">
        <f t="shared" si="7"/>
        <v>0</v>
      </c>
      <c r="O42" s="231">
        <f t="shared" si="7"/>
        <v>3312</v>
      </c>
      <c r="P42" s="230">
        <f t="shared" si="7"/>
        <v>3112</v>
      </c>
      <c r="Q42" s="225">
        <f t="shared" si="7"/>
        <v>0</v>
      </c>
      <c r="R42" s="225">
        <f t="shared" si="7"/>
        <v>0</v>
      </c>
      <c r="S42" s="225">
        <f t="shared" si="7"/>
        <v>0</v>
      </c>
      <c r="T42" s="225">
        <f t="shared" si="7"/>
        <v>0</v>
      </c>
      <c r="U42" s="225">
        <f t="shared" si="7"/>
        <v>0</v>
      </c>
      <c r="V42" s="225">
        <f t="shared" si="7"/>
        <v>0</v>
      </c>
    </row>
    <row r="43" spans="1:22" ht="16.399999999999999" customHeight="1" x14ac:dyDescent="0.35">
      <c r="A43" s="65" t="s">
        <v>2</v>
      </c>
      <c r="B43" s="65"/>
      <c r="C43" s="65">
        <f>AVERAGE(C35,C42,C28,C21,C14)</f>
        <v>5982.6</v>
      </c>
      <c r="D43" s="65">
        <f t="shared" ref="D43:V43" si="8">AVERAGE(D35,D42,D28,D21,D14)</f>
        <v>5982.6</v>
      </c>
      <c r="E43" s="65">
        <f t="shared" si="8"/>
        <v>6523.2</v>
      </c>
      <c r="F43" s="65">
        <f t="shared" si="8"/>
        <v>5982.6</v>
      </c>
      <c r="G43" s="65">
        <f t="shared" si="8"/>
        <v>0</v>
      </c>
      <c r="H43" s="65">
        <f t="shared" si="8"/>
        <v>4823.8</v>
      </c>
      <c r="I43" s="65">
        <f t="shared" si="8"/>
        <v>0</v>
      </c>
      <c r="J43" s="65">
        <f t="shared" si="8"/>
        <v>5982.6</v>
      </c>
      <c r="K43" s="65">
        <f t="shared" si="8"/>
        <v>0</v>
      </c>
      <c r="L43" s="65">
        <f t="shared" si="8"/>
        <v>0</v>
      </c>
      <c r="M43" s="65">
        <f t="shared" si="8"/>
        <v>0</v>
      </c>
      <c r="N43" s="196">
        <f t="shared" si="8"/>
        <v>6523.2</v>
      </c>
      <c r="O43" s="200">
        <f t="shared" si="8"/>
        <v>7963</v>
      </c>
      <c r="P43" s="196">
        <f t="shared" si="8"/>
        <v>7736.4</v>
      </c>
      <c r="Q43" s="65">
        <f t="shared" si="8"/>
        <v>0</v>
      </c>
      <c r="R43" s="65">
        <f t="shared" si="8"/>
        <v>0</v>
      </c>
      <c r="S43" s="65">
        <f t="shared" si="8"/>
        <v>7145.6</v>
      </c>
      <c r="T43" s="65">
        <f t="shared" si="8"/>
        <v>0</v>
      </c>
      <c r="U43" s="65">
        <f t="shared" si="8"/>
        <v>0</v>
      </c>
      <c r="V43" s="65">
        <f t="shared" si="8"/>
        <v>6573.4</v>
      </c>
    </row>
    <row r="44" spans="1:22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3"/>
      <c r="O44" s="197">
        <v>44097</v>
      </c>
      <c r="P44" s="158"/>
      <c r="Q44" s="154"/>
      <c r="R44" s="154"/>
      <c r="S44" s="154"/>
      <c r="T44" s="154"/>
      <c r="U44" s="154"/>
      <c r="V44" s="154"/>
    </row>
    <row r="45" spans="1:22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8"/>
      <c r="O45" s="162">
        <v>29913</v>
      </c>
      <c r="P45" s="158"/>
      <c r="Q45" s="157"/>
      <c r="R45" s="157"/>
      <c r="S45" s="157"/>
      <c r="T45" s="157"/>
      <c r="U45" s="157"/>
      <c r="V45" s="157"/>
    </row>
    <row r="46" spans="1:22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8"/>
      <c r="O46" s="162">
        <v>32616</v>
      </c>
      <c r="P46" s="158"/>
      <c r="Q46" s="157"/>
      <c r="R46" s="157"/>
      <c r="S46" s="157"/>
      <c r="T46" s="157"/>
      <c r="U46" s="157"/>
      <c r="V46" s="157"/>
    </row>
    <row r="47" spans="1:22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8"/>
      <c r="O47" s="162" t="s">
        <v>297</v>
      </c>
      <c r="P47" s="158"/>
      <c r="Q47" s="157"/>
      <c r="R47" s="157"/>
      <c r="S47" s="157"/>
      <c r="T47" s="157"/>
      <c r="U47" s="157"/>
      <c r="V47" s="157"/>
    </row>
    <row r="48" spans="1:22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8"/>
      <c r="O48" s="162" t="s">
        <v>273</v>
      </c>
      <c r="P48" s="158"/>
      <c r="Q48" s="157"/>
      <c r="R48" s="157"/>
      <c r="S48" s="157"/>
      <c r="T48" s="157"/>
      <c r="U48" s="157"/>
      <c r="V48" s="157"/>
    </row>
    <row r="49" spans="1:22" x14ac:dyDescent="0.35">
      <c r="A49" s="225" t="s">
        <v>167</v>
      </c>
      <c r="B49" s="225"/>
      <c r="C49" s="225">
        <f>IFERROR(C46-C45,"")</f>
        <v>0</v>
      </c>
      <c r="D49" s="225">
        <f t="shared" ref="D49:V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30">
        <f t="shared" si="9"/>
        <v>0</v>
      </c>
      <c r="O49" s="231">
        <f t="shared" si="9"/>
        <v>2703</v>
      </c>
      <c r="P49" s="230">
        <f t="shared" si="9"/>
        <v>0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  <c r="V49" s="225">
        <f t="shared" si="9"/>
        <v>0</v>
      </c>
    </row>
    <row r="50" spans="1:22" ht="16.399999999999999" customHeight="1" x14ac:dyDescent="0.35">
      <c r="A50" s="65" t="s">
        <v>2</v>
      </c>
      <c r="B50" s="65"/>
      <c r="C50" s="65">
        <f>AVERAGE(C42,C49,C35,C28,C21,C14)</f>
        <v>4985.5</v>
      </c>
      <c r="D50" s="65">
        <f t="shared" ref="D50:V50" si="10">AVERAGE(D42,D49,D35,D28,D21,D14)</f>
        <v>4985.5</v>
      </c>
      <c r="E50" s="65">
        <f t="shared" si="10"/>
        <v>5436</v>
      </c>
      <c r="F50" s="65">
        <f t="shared" si="10"/>
        <v>4985.5</v>
      </c>
      <c r="G50" s="65">
        <f t="shared" si="10"/>
        <v>0</v>
      </c>
      <c r="H50" s="65">
        <f t="shared" si="10"/>
        <v>4019.8333333333335</v>
      </c>
      <c r="I50" s="65">
        <f t="shared" si="10"/>
        <v>0</v>
      </c>
      <c r="J50" s="65">
        <f t="shared" si="10"/>
        <v>4985.5</v>
      </c>
      <c r="K50" s="65">
        <f t="shared" si="10"/>
        <v>0</v>
      </c>
      <c r="L50" s="65">
        <f t="shared" si="10"/>
        <v>0</v>
      </c>
      <c r="M50" s="65">
        <f t="shared" si="10"/>
        <v>0</v>
      </c>
      <c r="N50" s="196">
        <f t="shared" si="10"/>
        <v>5436</v>
      </c>
      <c r="O50" s="200">
        <f t="shared" si="10"/>
        <v>6911</v>
      </c>
      <c r="P50" s="196">
        <f t="shared" si="10"/>
        <v>6447</v>
      </c>
      <c r="Q50" s="65">
        <f t="shared" si="10"/>
        <v>0</v>
      </c>
      <c r="R50" s="65">
        <f t="shared" si="10"/>
        <v>0</v>
      </c>
      <c r="S50" s="65">
        <f t="shared" si="10"/>
        <v>5954.666666666667</v>
      </c>
      <c r="T50" s="65">
        <f t="shared" si="10"/>
        <v>0</v>
      </c>
      <c r="U50" s="65">
        <f t="shared" si="10"/>
        <v>0</v>
      </c>
      <c r="V50" s="65">
        <f t="shared" si="10"/>
        <v>5477.833333333333</v>
      </c>
    </row>
    <row r="51" spans="1:22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3"/>
      <c r="O51" s="197" t="s">
        <v>297</v>
      </c>
      <c r="P51" s="158"/>
      <c r="Q51" s="154"/>
      <c r="R51" s="154"/>
      <c r="S51" s="154"/>
      <c r="T51" s="154"/>
      <c r="U51" s="154"/>
      <c r="V51" s="154"/>
    </row>
    <row r="52" spans="1:22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8"/>
      <c r="O52" s="162">
        <v>32616</v>
      </c>
      <c r="P52" s="158"/>
      <c r="Q52" s="157"/>
      <c r="R52" s="157"/>
      <c r="S52" s="157"/>
      <c r="T52" s="157"/>
      <c r="U52" s="157"/>
      <c r="V52" s="157"/>
    </row>
    <row r="53" spans="1:22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8"/>
      <c r="O53" s="162">
        <v>35728</v>
      </c>
      <c r="P53" s="158"/>
      <c r="Q53" s="157"/>
      <c r="R53" s="157"/>
      <c r="S53" s="157"/>
      <c r="T53" s="157"/>
      <c r="U53" s="157"/>
      <c r="V53" s="157"/>
    </row>
    <row r="54" spans="1:22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8"/>
      <c r="O54" s="162" t="s">
        <v>242</v>
      </c>
      <c r="P54" s="158"/>
      <c r="Q54" s="157"/>
      <c r="R54" s="157"/>
      <c r="S54" s="157"/>
      <c r="T54" s="157"/>
      <c r="U54" s="157"/>
      <c r="V54" s="157"/>
    </row>
    <row r="55" spans="1:22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8"/>
      <c r="O55" s="162"/>
      <c r="P55" s="158"/>
      <c r="Q55" s="157"/>
      <c r="R55" s="157"/>
      <c r="S55" s="157"/>
      <c r="T55" s="157"/>
      <c r="U55" s="157"/>
      <c r="V55" s="157"/>
    </row>
    <row r="56" spans="1:22" x14ac:dyDescent="0.35">
      <c r="A56" s="225" t="s">
        <v>167</v>
      </c>
      <c r="B56" s="225"/>
      <c r="C56" s="225">
        <f>IFERROR(C53-C52,"")</f>
        <v>0</v>
      </c>
      <c r="D56" s="225">
        <f t="shared" ref="D56:V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30">
        <f t="shared" si="11"/>
        <v>0</v>
      </c>
      <c r="O56" s="231">
        <f t="shared" si="11"/>
        <v>3112</v>
      </c>
      <c r="P56" s="230">
        <f t="shared" si="11"/>
        <v>0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  <c r="V56" s="225">
        <f t="shared" si="11"/>
        <v>0</v>
      </c>
    </row>
    <row r="57" spans="1:22" ht="16.399999999999999" customHeight="1" x14ac:dyDescent="0.35">
      <c r="A57" s="65" t="s">
        <v>2</v>
      </c>
      <c r="B57" s="65"/>
      <c r="C57" s="65">
        <f>AVERAGE(C49,C56,C42,C35,C28,C21,C14)</f>
        <v>4273.2857142857147</v>
      </c>
      <c r="D57" s="65">
        <f t="shared" ref="D57:V57" si="12">AVERAGE(D49,D56,D42,D35,D28,D21,D14)</f>
        <v>4273.2857142857147</v>
      </c>
      <c r="E57" s="65">
        <f t="shared" si="12"/>
        <v>4659.4285714285716</v>
      </c>
      <c r="F57" s="65">
        <f t="shared" si="12"/>
        <v>4273.2857142857147</v>
      </c>
      <c r="G57" s="65">
        <f t="shared" si="12"/>
        <v>0</v>
      </c>
      <c r="H57" s="65">
        <f t="shared" si="12"/>
        <v>3445.5714285714284</v>
      </c>
      <c r="I57" s="65">
        <f t="shared" si="12"/>
        <v>0</v>
      </c>
      <c r="J57" s="65">
        <f t="shared" si="12"/>
        <v>4273.2857142857147</v>
      </c>
      <c r="K57" s="65">
        <f t="shared" si="12"/>
        <v>0</v>
      </c>
      <c r="L57" s="65">
        <f t="shared" si="12"/>
        <v>0</v>
      </c>
      <c r="M57" s="65">
        <f t="shared" si="12"/>
        <v>0</v>
      </c>
      <c r="N57" s="196">
        <f t="shared" si="12"/>
        <v>4659.4285714285716</v>
      </c>
      <c r="O57" s="200">
        <f t="shared" si="12"/>
        <v>6277.833333333333</v>
      </c>
      <c r="P57" s="196">
        <f t="shared" si="12"/>
        <v>5526</v>
      </c>
      <c r="Q57" s="65">
        <f t="shared" si="12"/>
        <v>0</v>
      </c>
      <c r="R57" s="65">
        <f t="shared" si="12"/>
        <v>0</v>
      </c>
      <c r="S57" s="65">
        <f t="shared" si="12"/>
        <v>5104</v>
      </c>
      <c r="T57" s="65">
        <f t="shared" si="12"/>
        <v>0</v>
      </c>
      <c r="U57" s="65">
        <f t="shared" si="12"/>
        <v>0</v>
      </c>
      <c r="V57" s="65">
        <f t="shared" si="12"/>
        <v>4695.2857142857147</v>
      </c>
    </row>
    <row r="58" spans="1:22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3"/>
      <c r="O58" s="197"/>
      <c r="P58" s="158"/>
      <c r="Q58" s="154"/>
      <c r="R58" s="154"/>
      <c r="S58" s="154"/>
      <c r="T58" s="154"/>
      <c r="U58" s="154"/>
      <c r="V58" s="154"/>
    </row>
    <row r="59" spans="1:22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8"/>
      <c r="O59" s="162"/>
      <c r="P59" s="158"/>
      <c r="Q59" s="157"/>
      <c r="R59" s="157"/>
      <c r="S59" s="157"/>
      <c r="T59" s="157"/>
      <c r="U59" s="157"/>
      <c r="V59" s="157"/>
    </row>
    <row r="60" spans="1:22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8"/>
      <c r="O60" s="162"/>
      <c r="P60" s="158"/>
      <c r="Q60" s="157"/>
      <c r="R60" s="157"/>
      <c r="S60" s="157"/>
      <c r="T60" s="157"/>
      <c r="U60" s="157"/>
      <c r="V60" s="157"/>
    </row>
    <row r="61" spans="1:22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8"/>
      <c r="O61" s="162"/>
      <c r="P61" s="158"/>
      <c r="Q61" s="157"/>
      <c r="R61" s="157"/>
      <c r="S61" s="157"/>
      <c r="T61" s="157"/>
      <c r="U61" s="157"/>
      <c r="V61" s="157"/>
    </row>
    <row r="62" spans="1:22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8"/>
      <c r="O62" s="162"/>
      <c r="P62" s="158"/>
      <c r="Q62" s="157"/>
      <c r="R62" s="157"/>
      <c r="S62" s="157"/>
      <c r="T62" s="157"/>
      <c r="U62" s="157"/>
      <c r="V62" s="157"/>
    </row>
    <row r="63" spans="1:22" x14ac:dyDescent="0.35">
      <c r="A63" s="225" t="s">
        <v>167</v>
      </c>
      <c r="B63" s="225"/>
      <c r="C63" s="225">
        <f>IFERROR(C60-C59,"")</f>
        <v>0</v>
      </c>
      <c r="D63" s="225">
        <f t="shared" ref="D63:V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30">
        <f t="shared" si="13"/>
        <v>0</v>
      </c>
      <c r="O63" s="231">
        <f t="shared" si="13"/>
        <v>0</v>
      </c>
      <c r="P63" s="230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  <c r="V63" s="225">
        <f t="shared" si="13"/>
        <v>0</v>
      </c>
    </row>
    <row r="64" spans="1:22" ht="16.399999999999999" customHeight="1" x14ac:dyDescent="0.35">
      <c r="A64" s="65" t="s">
        <v>2</v>
      </c>
      <c r="B64" s="65"/>
      <c r="C64" s="65">
        <f>AVERAGE(C56,C63,C49,C42,C35,C28,C21,C14)</f>
        <v>3739.125</v>
      </c>
      <c r="D64" s="65">
        <f t="shared" ref="D64:V64" si="14">AVERAGE(D56,D63,D49,D42,D35,D28,D21,D14)</f>
        <v>3739.125</v>
      </c>
      <c r="E64" s="65">
        <f t="shared" si="14"/>
        <v>4077</v>
      </c>
      <c r="F64" s="65">
        <f t="shared" si="14"/>
        <v>3739.125</v>
      </c>
      <c r="G64" s="65">
        <f t="shared" si="14"/>
        <v>0</v>
      </c>
      <c r="H64" s="65">
        <f t="shared" si="14"/>
        <v>3014.875</v>
      </c>
      <c r="I64" s="65">
        <f t="shared" si="14"/>
        <v>0</v>
      </c>
      <c r="J64" s="65">
        <f t="shared" si="14"/>
        <v>3739.125</v>
      </c>
      <c r="K64" s="65">
        <f t="shared" si="14"/>
        <v>0</v>
      </c>
      <c r="L64" s="65">
        <f t="shared" si="14"/>
        <v>0</v>
      </c>
      <c r="M64" s="65">
        <f t="shared" si="14"/>
        <v>0</v>
      </c>
      <c r="N64" s="196">
        <f t="shared" si="14"/>
        <v>4077</v>
      </c>
      <c r="O64" s="200">
        <f t="shared" si="14"/>
        <v>5381</v>
      </c>
      <c r="P64" s="196">
        <f t="shared" si="14"/>
        <v>4835.25</v>
      </c>
      <c r="Q64" s="65">
        <f t="shared" si="14"/>
        <v>0</v>
      </c>
      <c r="R64" s="65">
        <f t="shared" si="14"/>
        <v>0</v>
      </c>
      <c r="S64" s="65">
        <f t="shared" si="14"/>
        <v>4466</v>
      </c>
      <c r="T64" s="65">
        <f t="shared" si="14"/>
        <v>0</v>
      </c>
      <c r="U64" s="65">
        <f t="shared" si="14"/>
        <v>0</v>
      </c>
      <c r="V64" s="65">
        <f t="shared" si="14"/>
        <v>4108.375</v>
      </c>
    </row>
  </sheetData>
  <sheetProtection algorithmName="SHA-512" hashValue="puCzHh44N5KrlM4OJrfaoUsi/aXjVny0mAsVblrQJ/CKBo8hxClitRuvdl8L0P6W5LXjaXB5kLOPXURk7yOFYA==" saltValue="2SNGag7bLaWzY7JnlPFwbg==" spinCount="100000" sheet="1" objects="1" scenarios="1"/>
  <autoFilter ref="A2:V64" xr:uid="{00000000-0009-0000-0000-00000B000000}"/>
  <mergeCells count="2">
    <mergeCell ref="A7:B7"/>
    <mergeCell ref="A8:B8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S64"/>
  <sheetViews>
    <sheetView topLeftCell="A6" zoomScale="48" zoomScaleNormal="73" workbookViewId="0">
      <selection activeCell="K55" sqref="K55"/>
    </sheetView>
  </sheetViews>
  <sheetFormatPr defaultColWidth="8.81640625" defaultRowHeight="14.5" x14ac:dyDescent="0.35"/>
  <cols>
    <col min="1" max="1" width="17.81640625" style="1" customWidth="1"/>
    <col min="2" max="2" width="6.1796875" style="1" customWidth="1"/>
    <col min="3" max="3" width="15.453125" style="190" customWidth="1"/>
    <col min="4" max="4" width="16.81640625" style="190" customWidth="1"/>
    <col min="5" max="5" width="32.1796875" style="190" bestFit="1" customWidth="1"/>
    <col min="6" max="6" width="28.81640625" style="190" bestFit="1" customWidth="1"/>
    <col min="7" max="7" width="25.81640625" style="190" bestFit="1" customWidth="1"/>
    <col min="8" max="8" width="23.81640625" style="190" bestFit="1" customWidth="1"/>
    <col min="9" max="9" width="22" style="190" bestFit="1" customWidth="1"/>
    <col min="10" max="10" width="17.1796875" style="190" bestFit="1" customWidth="1"/>
    <col min="11" max="11" width="18.81640625" style="190" customWidth="1"/>
    <col min="12" max="15" width="17.1796875" style="190" bestFit="1" customWidth="1"/>
    <col min="16" max="16" width="13.81640625" style="190" customWidth="1"/>
    <col min="17" max="17" width="11.81640625" style="190" customWidth="1"/>
    <col min="18" max="19" width="17.1796875" style="190" bestFit="1" customWidth="1"/>
    <col min="20" max="16384" width="8.81640625" style="1"/>
  </cols>
  <sheetData>
    <row r="1" spans="1:19" ht="24" thickBot="1" x14ac:dyDescent="0.4">
      <c r="A1" s="99"/>
      <c r="C1" s="99"/>
    </row>
    <row r="2" spans="1:19" x14ac:dyDescent="0.35">
      <c r="E2" s="232" t="s">
        <v>298</v>
      </c>
      <c r="F2" s="212" t="s">
        <v>299</v>
      </c>
    </row>
    <row r="3" spans="1:19" x14ac:dyDescent="0.35">
      <c r="E3" s="233" t="s">
        <v>300</v>
      </c>
      <c r="F3" s="213" t="s">
        <v>301</v>
      </c>
    </row>
    <row r="4" spans="1:19" ht="15" thickBot="1" x14ac:dyDescent="0.4">
      <c r="B4" s="259"/>
      <c r="C4" s="260"/>
      <c r="E4" s="234" t="s">
        <v>302</v>
      </c>
      <c r="F4" s="214"/>
      <c r="G4" s="215"/>
    </row>
    <row r="5" spans="1:19" ht="30.65" customHeight="1" x14ac:dyDescent="0.35">
      <c r="A5" s="219" t="s">
        <v>18</v>
      </c>
      <c r="B5" s="258"/>
      <c r="C5" s="258"/>
    </row>
    <row r="6" spans="1:19" ht="58" x14ac:dyDescent="0.35">
      <c r="A6" s="220" t="s">
        <v>303</v>
      </c>
      <c r="B6" s="93"/>
      <c r="C6" s="235" t="s">
        <v>304</v>
      </c>
      <c r="D6" s="235" t="s">
        <v>305</v>
      </c>
      <c r="E6" s="235" t="s">
        <v>306</v>
      </c>
      <c r="F6" s="235" t="s">
        <v>307</v>
      </c>
      <c r="G6" s="235" t="s">
        <v>308</v>
      </c>
      <c r="H6" s="236" t="s">
        <v>309</v>
      </c>
      <c r="I6" s="236" t="s">
        <v>310</v>
      </c>
      <c r="J6" s="236" t="s">
        <v>311</v>
      </c>
      <c r="K6" s="235" t="s">
        <v>312</v>
      </c>
      <c r="L6" s="235" t="s">
        <v>313</v>
      </c>
      <c r="M6" s="235" t="s">
        <v>89</v>
      </c>
      <c r="N6" s="235" t="s">
        <v>130</v>
      </c>
      <c r="O6" s="236" t="s">
        <v>314</v>
      </c>
      <c r="P6" s="216" t="s">
        <v>315</v>
      </c>
      <c r="Q6" s="216" t="s">
        <v>316</v>
      </c>
      <c r="R6" s="236" t="s">
        <v>317</v>
      </c>
      <c r="S6" s="236" t="s">
        <v>318</v>
      </c>
    </row>
    <row r="7" spans="1:19" x14ac:dyDescent="0.35">
      <c r="A7" s="94" t="s">
        <v>137</v>
      </c>
      <c r="B7" s="94"/>
      <c r="C7" s="17" t="s">
        <v>140</v>
      </c>
      <c r="D7" s="17" t="s">
        <v>319</v>
      </c>
      <c r="E7" s="17" t="s">
        <v>141</v>
      </c>
      <c r="F7" s="17" t="s">
        <v>320</v>
      </c>
      <c r="G7" s="17" t="s">
        <v>144</v>
      </c>
      <c r="H7" s="17" t="s">
        <v>145</v>
      </c>
      <c r="I7" s="17" t="s">
        <v>146</v>
      </c>
      <c r="J7" s="17" t="s">
        <v>147</v>
      </c>
      <c r="K7" s="17" t="s">
        <v>148</v>
      </c>
      <c r="L7" s="17" t="s">
        <v>321</v>
      </c>
      <c r="M7" s="17" t="s">
        <v>150</v>
      </c>
      <c r="N7" s="17" t="s">
        <v>151</v>
      </c>
      <c r="O7" s="17" t="s">
        <v>152</v>
      </c>
      <c r="P7" s="17" t="s">
        <v>153</v>
      </c>
      <c r="Q7" s="17" t="s">
        <v>322</v>
      </c>
      <c r="R7" s="17" t="s">
        <v>323</v>
      </c>
      <c r="S7" s="17" t="s">
        <v>156</v>
      </c>
    </row>
    <row r="8" spans="1:19" x14ac:dyDescent="0.35">
      <c r="A8" s="95" t="s">
        <v>158</v>
      </c>
      <c r="B8" s="95"/>
      <c r="C8" s="20">
        <v>1</v>
      </c>
      <c r="D8" s="20">
        <v>1</v>
      </c>
      <c r="E8" s="20">
        <v>1</v>
      </c>
      <c r="F8" s="20">
        <v>1</v>
      </c>
      <c r="G8" s="20">
        <v>1</v>
      </c>
      <c r="H8" s="20">
        <v>2</v>
      </c>
      <c r="I8" s="20">
        <v>1</v>
      </c>
      <c r="J8" s="20">
        <v>2</v>
      </c>
      <c r="K8" s="20">
        <v>1</v>
      </c>
      <c r="L8" s="20">
        <v>1</v>
      </c>
      <c r="M8" s="20">
        <v>1</v>
      </c>
      <c r="N8" s="20">
        <v>1</v>
      </c>
      <c r="O8" s="20">
        <v>1</v>
      </c>
      <c r="P8" s="20">
        <v>1</v>
      </c>
      <c r="Q8" s="20">
        <v>1</v>
      </c>
      <c r="R8" s="20">
        <v>4</v>
      </c>
      <c r="S8" s="20">
        <v>1</v>
      </c>
    </row>
    <row r="9" spans="1:19" x14ac:dyDescent="0.35">
      <c r="A9" s="21" t="s">
        <v>159</v>
      </c>
      <c r="B9" s="22"/>
      <c r="C9" s="221" t="s">
        <v>225</v>
      </c>
      <c r="D9" s="221" t="s">
        <v>225</v>
      </c>
      <c r="E9" s="221" t="s">
        <v>225</v>
      </c>
      <c r="F9" s="221" t="s">
        <v>225</v>
      </c>
      <c r="G9" s="77"/>
      <c r="H9" s="77"/>
      <c r="I9" s="77"/>
      <c r="J9" s="77"/>
      <c r="K9" s="59"/>
      <c r="L9" s="221" t="s">
        <v>225</v>
      </c>
      <c r="M9" s="221" t="s">
        <v>225</v>
      </c>
      <c r="N9" s="221" t="s">
        <v>225</v>
      </c>
      <c r="O9" s="77"/>
      <c r="P9" s="77"/>
      <c r="Q9" s="59"/>
      <c r="R9" s="226" t="s">
        <v>225</v>
      </c>
      <c r="S9" s="77"/>
    </row>
    <row r="10" spans="1:19" x14ac:dyDescent="0.35">
      <c r="A10" s="26" t="s">
        <v>161</v>
      </c>
      <c r="B10" s="27" t="s">
        <v>162</v>
      </c>
      <c r="C10" s="59">
        <v>0</v>
      </c>
      <c r="D10" s="59">
        <v>0</v>
      </c>
      <c r="E10" s="59">
        <v>0</v>
      </c>
      <c r="F10" s="59">
        <v>0</v>
      </c>
      <c r="G10" s="59"/>
      <c r="H10" s="59"/>
      <c r="I10" s="59"/>
      <c r="J10" s="59"/>
      <c r="K10" s="59"/>
      <c r="L10" s="59">
        <v>0</v>
      </c>
      <c r="M10" s="59">
        <v>0</v>
      </c>
      <c r="N10" s="59">
        <v>0</v>
      </c>
      <c r="O10" s="59"/>
      <c r="P10" s="59"/>
      <c r="Q10" s="59"/>
      <c r="R10" s="59">
        <v>0</v>
      </c>
      <c r="S10" s="59"/>
    </row>
    <row r="11" spans="1:19" x14ac:dyDescent="0.35">
      <c r="A11" s="26" t="s">
        <v>161</v>
      </c>
      <c r="B11" s="27" t="s">
        <v>163</v>
      </c>
      <c r="C11" s="59">
        <v>6084</v>
      </c>
      <c r="D11" s="59">
        <v>6084</v>
      </c>
      <c r="E11" s="59">
        <v>6084</v>
      </c>
      <c r="F11" s="59">
        <v>15646</v>
      </c>
      <c r="G11" s="59">
        <v>30354</v>
      </c>
      <c r="H11" s="59"/>
      <c r="I11" s="59"/>
      <c r="J11" s="59"/>
      <c r="K11" s="59">
        <v>30354</v>
      </c>
      <c r="L11" s="59">
        <v>15646</v>
      </c>
      <c r="M11" s="59">
        <v>6807</v>
      </c>
      <c r="N11" s="59">
        <v>4301</v>
      </c>
      <c r="O11" s="59"/>
      <c r="P11" s="59"/>
      <c r="Q11" s="59"/>
      <c r="R11" s="59">
        <v>21503</v>
      </c>
      <c r="S11" s="59"/>
    </row>
    <row r="12" spans="1:19" x14ac:dyDescent="0.35">
      <c r="A12" s="26" t="s">
        <v>164</v>
      </c>
      <c r="B12" s="27"/>
      <c r="C12" s="58" t="s">
        <v>324</v>
      </c>
      <c r="D12" s="58" t="s">
        <v>324</v>
      </c>
      <c r="E12" s="58" t="s">
        <v>324</v>
      </c>
      <c r="F12" s="58" t="s">
        <v>325</v>
      </c>
      <c r="G12" s="59" t="s">
        <v>249</v>
      </c>
      <c r="H12" s="59"/>
      <c r="I12" s="58"/>
      <c r="J12" s="58"/>
      <c r="K12" s="58" t="s">
        <v>249</v>
      </c>
      <c r="L12" s="58" t="s">
        <v>325</v>
      </c>
      <c r="M12" s="58" t="s">
        <v>326</v>
      </c>
      <c r="N12" s="58" t="s">
        <v>327</v>
      </c>
      <c r="O12" s="59"/>
      <c r="P12" s="59"/>
      <c r="Q12" s="59"/>
      <c r="R12" s="58" t="s">
        <v>328</v>
      </c>
      <c r="S12" s="59"/>
    </row>
    <row r="13" spans="1:19" x14ac:dyDescent="0.35">
      <c r="A13" s="32" t="s">
        <v>165</v>
      </c>
      <c r="B13" s="33"/>
      <c r="C13" s="34" t="s">
        <v>264</v>
      </c>
      <c r="D13" s="34" t="s">
        <v>264</v>
      </c>
      <c r="E13" s="237" t="s">
        <v>264</v>
      </c>
      <c r="F13" s="34" t="s">
        <v>264</v>
      </c>
      <c r="G13" s="59" t="s">
        <v>252</v>
      </c>
      <c r="H13" s="59"/>
      <c r="I13" s="34"/>
      <c r="J13" s="34"/>
      <c r="K13" s="34" t="s">
        <v>252</v>
      </c>
      <c r="L13" s="34" t="s">
        <v>264</v>
      </c>
      <c r="M13" s="34" t="s">
        <v>264</v>
      </c>
      <c r="N13" s="34" t="s">
        <v>264</v>
      </c>
      <c r="O13" s="59"/>
      <c r="P13" s="59"/>
      <c r="Q13" s="59"/>
      <c r="R13" s="237" t="s">
        <v>264</v>
      </c>
      <c r="S13" s="59"/>
    </row>
    <row r="14" spans="1:19" x14ac:dyDescent="0.35">
      <c r="A14" s="225" t="s">
        <v>167</v>
      </c>
      <c r="B14" s="225"/>
      <c r="C14" s="102">
        <f t="shared" ref="C14:S14" si="0">IFERROR(C11-C10,"")</f>
        <v>6084</v>
      </c>
      <c r="D14" s="102">
        <f t="shared" si="0"/>
        <v>6084</v>
      </c>
      <c r="E14" s="102">
        <f t="shared" si="0"/>
        <v>6084</v>
      </c>
      <c r="F14" s="102">
        <f t="shared" si="0"/>
        <v>15646</v>
      </c>
      <c r="G14" s="102">
        <f t="shared" si="0"/>
        <v>30354</v>
      </c>
      <c r="H14" s="102">
        <f t="shared" si="0"/>
        <v>0</v>
      </c>
      <c r="I14" s="102">
        <f t="shared" si="0"/>
        <v>0</v>
      </c>
      <c r="J14" s="102">
        <f t="shared" si="0"/>
        <v>0</v>
      </c>
      <c r="K14" s="102">
        <f t="shared" si="0"/>
        <v>30354</v>
      </c>
      <c r="L14" s="102">
        <f t="shared" si="0"/>
        <v>15646</v>
      </c>
      <c r="M14" s="102">
        <f t="shared" si="0"/>
        <v>6807</v>
      </c>
      <c r="N14" s="102">
        <f t="shared" si="0"/>
        <v>4301</v>
      </c>
      <c r="O14" s="102">
        <f t="shared" si="0"/>
        <v>0</v>
      </c>
      <c r="P14" s="102">
        <f t="shared" si="0"/>
        <v>0</v>
      </c>
      <c r="Q14" s="102">
        <f t="shared" si="0"/>
        <v>0</v>
      </c>
      <c r="R14" s="102">
        <f t="shared" si="0"/>
        <v>21503</v>
      </c>
      <c r="S14" s="102">
        <f t="shared" si="0"/>
        <v>0</v>
      </c>
    </row>
    <row r="15" spans="1:19" ht="16.399999999999999" customHeight="1" x14ac:dyDescent="0.35">
      <c r="A15" s="65" t="s">
        <v>2</v>
      </c>
      <c r="B15" s="65"/>
      <c r="C15" s="103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3"/>
      <c r="P15" s="103"/>
      <c r="Q15" s="104"/>
      <c r="R15" s="104"/>
      <c r="S15" s="104"/>
    </row>
    <row r="16" spans="1:19" x14ac:dyDescent="0.35">
      <c r="A16" s="21" t="s">
        <v>159</v>
      </c>
      <c r="B16" s="22"/>
      <c r="C16" s="217" t="s">
        <v>324</v>
      </c>
      <c r="D16" s="77" t="s">
        <v>324</v>
      </c>
      <c r="E16" s="59" t="s">
        <v>324</v>
      </c>
      <c r="F16" s="77"/>
      <c r="G16" s="59"/>
      <c r="H16" s="59"/>
      <c r="I16" s="77"/>
      <c r="J16" s="77"/>
      <c r="K16" s="58"/>
      <c r="L16" s="58" t="s">
        <v>325</v>
      </c>
      <c r="M16" s="58" t="s">
        <v>326</v>
      </c>
      <c r="N16" s="58" t="s">
        <v>327</v>
      </c>
      <c r="O16" s="77"/>
      <c r="P16" s="59"/>
      <c r="Q16" s="59"/>
      <c r="R16" s="59" t="s">
        <v>328</v>
      </c>
      <c r="S16" s="59"/>
    </row>
    <row r="17" spans="1:19" x14ac:dyDescent="0.35">
      <c r="A17" s="26" t="s">
        <v>161</v>
      </c>
      <c r="B17" s="27" t="s">
        <v>162</v>
      </c>
      <c r="C17" s="80">
        <v>6084</v>
      </c>
      <c r="D17" s="59">
        <v>6084</v>
      </c>
      <c r="E17" s="59">
        <v>6084</v>
      </c>
      <c r="F17" s="59"/>
      <c r="G17" s="59"/>
      <c r="H17" s="59"/>
      <c r="I17" s="59"/>
      <c r="J17" s="59"/>
      <c r="K17" s="59"/>
      <c r="L17" s="59">
        <v>15646</v>
      </c>
      <c r="M17" s="59">
        <v>6807</v>
      </c>
      <c r="N17" s="59">
        <v>4301</v>
      </c>
      <c r="O17" s="59"/>
      <c r="P17" s="59"/>
      <c r="Q17" s="59"/>
      <c r="R17" s="59">
        <v>21503</v>
      </c>
      <c r="S17" s="59"/>
    </row>
    <row r="18" spans="1:19" x14ac:dyDescent="0.35">
      <c r="A18" s="26" t="s">
        <v>161</v>
      </c>
      <c r="B18" s="27" t="s">
        <v>163</v>
      </c>
      <c r="C18" s="80">
        <v>17634</v>
      </c>
      <c r="D18" s="59">
        <v>17634</v>
      </c>
      <c r="E18" s="59">
        <v>17634</v>
      </c>
      <c r="F18" s="59"/>
      <c r="G18" s="59"/>
      <c r="H18" s="59"/>
      <c r="I18" s="59"/>
      <c r="J18" s="59"/>
      <c r="K18" s="59"/>
      <c r="L18" s="59">
        <v>26447</v>
      </c>
      <c r="M18" s="59">
        <v>7887</v>
      </c>
      <c r="N18" s="59">
        <v>6084</v>
      </c>
      <c r="O18" s="59"/>
      <c r="P18" s="59"/>
      <c r="Q18" s="59"/>
      <c r="R18" s="59">
        <v>26447</v>
      </c>
      <c r="S18" s="59"/>
    </row>
    <row r="19" spans="1:19" x14ac:dyDescent="0.35">
      <c r="A19" s="26" t="s">
        <v>164</v>
      </c>
      <c r="B19" s="27"/>
      <c r="C19" s="80" t="s">
        <v>329</v>
      </c>
      <c r="D19" s="59" t="s">
        <v>329</v>
      </c>
      <c r="E19" s="59" t="s">
        <v>329</v>
      </c>
      <c r="F19" s="59"/>
      <c r="G19" s="59"/>
      <c r="H19" s="59"/>
      <c r="I19" s="59"/>
      <c r="J19" s="77"/>
      <c r="K19" s="59"/>
      <c r="L19" s="58" t="s">
        <v>330</v>
      </c>
      <c r="M19" s="60" t="s">
        <v>331</v>
      </c>
      <c r="N19" s="60" t="s">
        <v>324</v>
      </c>
      <c r="O19" s="59"/>
      <c r="P19" s="59"/>
      <c r="Q19" s="59"/>
      <c r="R19" s="59" t="s">
        <v>330</v>
      </c>
      <c r="S19" s="59"/>
    </row>
    <row r="20" spans="1:19" x14ac:dyDescent="0.35">
      <c r="A20" s="32" t="s">
        <v>165</v>
      </c>
      <c r="B20" s="37"/>
      <c r="C20" s="80" t="s">
        <v>264</v>
      </c>
      <c r="D20" s="59" t="s">
        <v>264</v>
      </c>
      <c r="E20" s="59" t="s">
        <v>264</v>
      </c>
      <c r="F20" s="59"/>
      <c r="G20" s="59"/>
      <c r="H20" s="59"/>
      <c r="I20" s="59"/>
      <c r="J20" s="59"/>
      <c r="K20" s="34"/>
      <c r="L20" s="237" t="s">
        <v>264</v>
      </c>
      <c r="M20" s="34" t="s">
        <v>264</v>
      </c>
      <c r="N20" s="34" t="s">
        <v>264</v>
      </c>
      <c r="O20" s="59"/>
      <c r="P20" s="59"/>
      <c r="Q20" s="59"/>
      <c r="R20" s="59" t="s">
        <v>264</v>
      </c>
      <c r="S20" s="59"/>
    </row>
    <row r="21" spans="1:19" x14ac:dyDescent="0.35">
      <c r="A21" s="225" t="s">
        <v>167</v>
      </c>
      <c r="B21" s="225"/>
      <c r="C21" s="102">
        <f>IFERROR(C18-C17,"")</f>
        <v>11550</v>
      </c>
      <c r="D21" s="102">
        <f t="shared" ref="D21:S21" si="1">IFERROR(D18-D17,"")</f>
        <v>11550</v>
      </c>
      <c r="E21" s="102">
        <f t="shared" si="1"/>
        <v>11550</v>
      </c>
      <c r="F21" s="102">
        <f t="shared" si="1"/>
        <v>0</v>
      </c>
      <c r="G21" s="102">
        <f t="shared" si="1"/>
        <v>0</v>
      </c>
      <c r="H21" s="102">
        <f t="shared" si="1"/>
        <v>0</v>
      </c>
      <c r="I21" s="102">
        <f t="shared" si="1"/>
        <v>0</v>
      </c>
      <c r="J21" s="102">
        <f t="shared" si="1"/>
        <v>0</v>
      </c>
      <c r="K21" s="102">
        <f t="shared" si="1"/>
        <v>0</v>
      </c>
      <c r="L21" s="102">
        <f t="shared" si="1"/>
        <v>10801</v>
      </c>
      <c r="M21" s="102">
        <f t="shared" si="1"/>
        <v>1080</v>
      </c>
      <c r="N21" s="102">
        <f t="shared" si="1"/>
        <v>1783</v>
      </c>
      <c r="O21" s="102">
        <f t="shared" si="1"/>
        <v>0</v>
      </c>
      <c r="P21" s="102">
        <f t="shared" si="1"/>
        <v>0</v>
      </c>
      <c r="Q21" s="102">
        <f t="shared" si="1"/>
        <v>0</v>
      </c>
      <c r="R21" s="102">
        <f t="shared" si="1"/>
        <v>4944</v>
      </c>
      <c r="S21" s="102">
        <f t="shared" si="1"/>
        <v>0</v>
      </c>
    </row>
    <row r="22" spans="1:19" ht="16.399999999999999" customHeight="1" x14ac:dyDescent="0.35">
      <c r="A22" s="65" t="s">
        <v>2</v>
      </c>
      <c r="B22" s="65"/>
      <c r="C22" s="103">
        <f>AVERAGE(C14,C21)</f>
        <v>8817</v>
      </c>
      <c r="D22" s="103">
        <f t="shared" ref="D22:S22" si="2">AVERAGE(D14,D21)</f>
        <v>8817</v>
      </c>
      <c r="E22" s="103">
        <f t="shared" si="2"/>
        <v>8817</v>
      </c>
      <c r="F22" s="103">
        <f t="shared" si="2"/>
        <v>7823</v>
      </c>
      <c r="G22" s="103">
        <f t="shared" si="2"/>
        <v>15177</v>
      </c>
      <c r="H22" s="103">
        <f t="shared" si="2"/>
        <v>0</v>
      </c>
      <c r="I22" s="103">
        <f t="shared" si="2"/>
        <v>0</v>
      </c>
      <c r="J22" s="103">
        <f t="shared" si="2"/>
        <v>0</v>
      </c>
      <c r="K22" s="103">
        <f t="shared" si="2"/>
        <v>15177</v>
      </c>
      <c r="L22" s="103">
        <f t="shared" si="2"/>
        <v>13223.5</v>
      </c>
      <c r="M22" s="103">
        <f t="shared" si="2"/>
        <v>3943.5</v>
      </c>
      <c r="N22" s="103">
        <f t="shared" si="2"/>
        <v>3042</v>
      </c>
      <c r="O22" s="103">
        <f t="shared" si="2"/>
        <v>0</v>
      </c>
      <c r="P22" s="103">
        <f t="shared" si="2"/>
        <v>0</v>
      </c>
      <c r="Q22" s="103">
        <f t="shared" si="2"/>
        <v>0</v>
      </c>
      <c r="R22" s="103">
        <f t="shared" si="2"/>
        <v>13223.5</v>
      </c>
      <c r="S22" s="103">
        <f t="shared" si="2"/>
        <v>0</v>
      </c>
    </row>
    <row r="23" spans="1:19" x14ac:dyDescent="0.35">
      <c r="A23" s="21" t="s">
        <v>159</v>
      </c>
      <c r="B23" s="22"/>
      <c r="C23" s="80" t="s">
        <v>329</v>
      </c>
      <c r="D23" s="59" t="s">
        <v>329</v>
      </c>
      <c r="E23" s="59"/>
      <c r="F23" s="59"/>
      <c r="G23" s="59"/>
      <c r="H23" s="59"/>
      <c r="I23" s="59"/>
      <c r="J23" s="77"/>
      <c r="K23" s="59"/>
      <c r="L23" s="59" t="s">
        <v>330</v>
      </c>
      <c r="M23" s="60" t="s">
        <v>331</v>
      </c>
      <c r="N23" s="60" t="s">
        <v>324</v>
      </c>
      <c r="O23" s="77"/>
      <c r="P23" s="59"/>
      <c r="Q23" s="59"/>
      <c r="R23" s="59"/>
      <c r="S23" s="59"/>
    </row>
    <row r="24" spans="1:19" x14ac:dyDescent="0.35">
      <c r="A24" s="26" t="s">
        <v>161</v>
      </c>
      <c r="B24" s="27" t="s">
        <v>162</v>
      </c>
      <c r="C24" s="80">
        <v>17634</v>
      </c>
      <c r="D24" s="59">
        <v>17634</v>
      </c>
      <c r="E24" s="59"/>
      <c r="F24" s="59"/>
      <c r="G24" s="59"/>
      <c r="H24" s="59"/>
      <c r="I24" s="59"/>
      <c r="J24" s="59"/>
      <c r="K24" s="59"/>
      <c r="L24" s="59">
        <v>26447</v>
      </c>
      <c r="M24" s="59">
        <v>7887</v>
      </c>
      <c r="N24" s="59">
        <v>6084</v>
      </c>
      <c r="O24" s="59"/>
      <c r="P24" s="59"/>
      <c r="Q24" s="59"/>
      <c r="R24" s="59"/>
      <c r="S24" s="59"/>
    </row>
    <row r="25" spans="1:19" x14ac:dyDescent="0.35">
      <c r="A25" s="26" t="s">
        <v>161</v>
      </c>
      <c r="B25" s="27" t="s">
        <v>163</v>
      </c>
      <c r="C25" s="80">
        <v>30354</v>
      </c>
      <c r="D25" s="59">
        <v>30354</v>
      </c>
      <c r="E25" s="59"/>
      <c r="F25" s="59"/>
      <c r="G25" s="59"/>
      <c r="H25" s="59"/>
      <c r="I25" s="59"/>
      <c r="J25" s="59"/>
      <c r="K25" s="59"/>
      <c r="L25" s="59">
        <v>30354</v>
      </c>
      <c r="M25" s="59">
        <v>8415</v>
      </c>
      <c r="N25" s="59">
        <v>10043</v>
      </c>
      <c r="O25" s="59"/>
      <c r="P25" s="59"/>
      <c r="Q25" s="59"/>
      <c r="R25" s="59"/>
      <c r="S25" s="59"/>
    </row>
    <row r="26" spans="1:19" x14ac:dyDescent="0.35">
      <c r="A26" s="26" t="s">
        <v>164</v>
      </c>
      <c r="B26" s="27"/>
      <c r="C26" s="80" t="s">
        <v>249</v>
      </c>
      <c r="D26" s="59" t="s">
        <v>249</v>
      </c>
      <c r="E26" s="59"/>
      <c r="F26" s="59"/>
      <c r="G26" s="59"/>
      <c r="H26" s="59"/>
      <c r="I26" s="59"/>
      <c r="J26" s="77"/>
      <c r="K26" s="59"/>
      <c r="L26" s="59" t="s">
        <v>249</v>
      </c>
      <c r="M26" s="58" t="s">
        <v>332</v>
      </c>
      <c r="N26" s="58" t="s">
        <v>333</v>
      </c>
      <c r="O26" s="59"/>
      <c r="P26" s="59"/>
      <c r="Q26" s="59"/>
      <c r="R26" s="59"/>
      <c r="S26" s="59"/>
    </row>
    <row r="27" spans="1:19" x14ac:dyDescent="0.35">
      <c r="A27" s="32" t="s">
        <v>165</v>
      </c>
      <c r="B27" s="37"/>
      <c r="C27" s="80" t="s">
        <v>252</v>
      </c>
      <c r="D27" s="59" t="s">
        <v>252</v>
      </c>
      <c r="E27" s="59"/>
      <c r="F27" s="59"/>
      <c r="G27" s="59"/>
      <c r="H27" s="59"/>
      <c r="I27" s="59"/>
      <c r="J27" s="59"/>
      <c r="K27" s="59"/>
      <c r="L27" s="59" t="s">
        <v>252</v>
      </c>
      <c r="M27" s="34" t="s">
        <v>264</v>
      </c>
      <c r="N27" s="34" t="s">
        <v>264</v>
      </c>
      <c r="O27" s="59"/>
      <c r="P27" s="59"/>
      <c r="Q27" s="59"/>
      <c r="R27" s="59"/>
      <c r="S27" s="59"/>
    </row>
    <row r="28" spans="1:19" x14ac:dyDescent="0.35">
      <c r="A28" s="225" t="s">
        <v>167</v>
      </c>
      <c r="B28" s="225"/>
      <c r="C28" s="102">
        <f>IFERROR(C25-C24,"")</f>
        <v>12720</v>
      </c>
      <c r="D28" s="102">
        <f t="shared" ref="D28:S28" si="3">IFERROR(D25-D24,"")</f>
        <v>12720</v>
      </c>
      <c r="E28" s="102">
        <f t="shared" si="3"/>
        <v>0</v>
      </c>
      <c r="F28" s="102">
        <f t="shared" si="3"/>
        <v>0</v>
      </c>
      <c r="G28" s="102">
        <f t="shared" si="3"/>
        <v>0</v>
      </c>
      <c r="H28" s="102">
        <f t="shared" si="3"/>
        <v>0</v>
      </c>
      <c r="I28" s="102">
        <f t="shared" si="3"/>
        <v>0</v>
      </c>
      <c r="J28" s="102">
        <f t="shared" si="3"/>
        <v>0</v>
      </c>
      <c r="K28" s="102">
        <f t="shared" si="3"/>
        <v>0</v>
      </c>
      <c r="L28" s="102">
        <f t="shared" si="3"/>
        <v>3907</v>
      </c>
      <c r="M28" s="102">
        <f t="shared" si="3"/>
        <v>528</v>
      </c>
      <c r="N28" s="102">
        <f t="shared" si="3"/>
        <v>3959</v>
      </c>
      <c r="O28" s="102">
        <f t="shared" si="3"/>
        <v>0</v>
      </c>
      <c r="P28" s="102">
        <f t="shared" si="3"/>
        <v>0</v>
      </c>
      <c r="Q28" s="102">
        <f t="shared" si="3"/>
        <v>0</v>
      </c>
      <c r="R28" s="102">
        <f t="shared" si="3"/>
        <v>0</v>
      </c>
      <c r="S28" s="102">
        <f t="shared" si="3"/>
        <v>0</v>
      </c>
    </row>
    <row r="29" spans="1:19" ht="16.399999999999999" customHeight="1" x14ac:dyDescent="0.35">
      <c r="A29" s="65" t="s">
        <v>2</v>
      </c>
      <c r="B29" s="65"/>
      <c r="C29" s="103">
        <f>AVERAGE(C28,C21,C14)</f>
        <v>10118</v>
      </c>
      <c r="D29" s="103">
        <f t="shared" ref="D29:S29" si="4">AVERAGE(D28,D21,D14)</f>
        <v>10118</v>
      </c>
      <c r="E29" s="103">
        <f t="shared" si="4"/>
        <v>5878</v>
      </c>
      <c r="F29" s="103">
        <f t="shared" si="4"/>
        <v>5215.333333333333</v>
      </c>
      <c r="G29" s="103">
        <f t="shared" si="4"/>
        <v>10118</v>
      </c>
      <c r="H29" s="103">
        <f t="shared" si="4"/>
        <v>0</v>
      </c>
      <c r="I29" s="103">
        <f t="shared" si="4"/>
        <v>0</v>
      </c>
      <c r="J29" s="103">
        <f t="shared" si="4"/>
        <v>0</v>
      </c>
      <c r="K29" s="103">
        <f t="shared" si="4"/>
        <v>10118</v>
      </c>
      <c r="L29" s="103">
        <f t="shared" si="4"/>
        <v>10118</v>
      </c>
      <c r="M29" s="103">
        <f t="shared" si="4"/>
        <v>2805</v>
      </c>
      <c r="N29" s="103">
        <f t="shared" si="4"/>
        <v>3347.6666666666665</v>
      </c>
      <c r="O29" s="103">
        <f t="shared" si="4"/>
        <v>0</v>
      </c>
      <c r="P29" s="103">
        <f t="shared" si="4"/>
        <v>0</v>
      </c>
      <c r="Q29" s="103">
        <f t="shared" si="4"/>
        <v>0</v>
      </c>
      <c r="R29" s="103">
        <f t="shared" si="4"/>
        <v>8815.6666666666661</v>
      </c>
      <c r="S29" s="103">
        <f t="shared" si="4"/>
        <v>0</v>
      </c>
    </row>
    <row r="30" spans="1:19" x14ac:dyDescent="0.35">
      <c r="A30" s="21" t="s">
        <v>159</v>
      </c>
      <c r="B30" s="22"/>
      <c r="C30" s="80"/>
      <c r="D30" s="59"/>
      <c r="E30" s="59"/>
      <c r="F30" s="59"/>
      <c r="G30" s="59"/>
      <c r="H30" s="59"/>
      <c r="I30" s="59"/>
      <c r="J30" s="77"/>
      <c r="K30" s="59"/>
      <c r="L30" s="59"/>
      <c r="M30" s="58" t="s">
        <v>332</v>
      </c>
      <c r="N30" s="77" t="s">
        <v>333</v>
      </c>
      <c r="O30" s="77"/>
      <c r="P30" s="59"/>
      <c r="Q30" s="59"/>
      <c r="R30" s="59"/>
      <c r="S30" s="59"/>
    </row>
    <row r="31" spans="1:19" x14ac:dyDescent="0.35">
      <c r="A31" s="26" t="s">
        <v>161</v>
      </c>
      <c r="B31" s="27" t="s">
        <v>162</v>
      </c>
      <c r="C31" s="80"/>
      <c r="D31" s="59"/>
      <c r="E31" s="59"/>
      <c r="F31" s="59"/>
      <c r="G31" s="59"/>
      <c r="H31" s="59"/>
      <c r="I31" s="59"/>
      <c r="J31" s="59"/>
      <c r="K31" s="59"/>
      <c r="L31" s="59"/>
      <c r="M31" s="59">
        <v>8415</v>
      </c>
      <c r="N31" s="59">
        <v>10043</v>
      </c>
      <c r="O31" s="59"/>
      <c r="P31" s="59"/>
      <c r="Q31" s="59"/>
      <c r="R31" s="59"/>
      <c r="S31" s="59"/>
    </row>
    <row r="32" spans="1:19" x14ac:dyDescent="0.35">
      <c r="A32" s="26" t="s">
        <v>161</v>
      </c>
      <c r="B32" s="27" t="s">
        <v>163</v>
      </c>
      <c r="C32" s="80"/>
      <c r="D32" s="59"/>
      <c r="E32" s="59"/>
      <c r="F32" s="59"/>
      <c r="G32" s="59"/>
      <c r="H32" s="59"/>
      <c r="I32" s="59"/>
      <c r="J32" s="59"/>
      <c r="K32" s="59"/>
      <c r="L32" s="59"/>
      <c r="M32" s="59">
        <v>13115</v>
      </c>
      <c r="N32" s="59">
        <v>13115</v>
      </c>
      <c r="O32" s="59"/>
      <c r="P32" s="59"/>
      <c r="Q32" s="59"/>
      <c r="R32" s="59"/>
      <c r="S32" s="59"/>
    </row>
    <row r="33" spans="1:19" x14ac:dyDescent="0.35">
      <c r="A33" s="26" t="s">
        <v>164</v>
      </c>
      <c r="B33" s="27"/>
      <c r="C33" s="80"/>
      <c r="D33" s="59"/>
      <c r="E33" s="59"/>
      <c r="F33" s="59"/>
      <c r="G33" s="59"/>
      <c r="H33" s="59"/>
      <c r="I33" s="59"/>
      <c r="J33" s="77"/>
      <c r="K33" s="59"/>
      <c r="L33" s="59"/>
      <c r="M33" s="60" t="s">
        <v>334</v>
      </c>
      <c r="N33" s="77" t="s">
        <v>334</v>
      </c>
      <c r="O33" s="59"/>
      <c r="P33" s="59"/>
      <c r="Q33" s="59"/>
      <c r="R33" s="59"/>
      <c r="S33" s="59"/>
    </row>
    <row r="34" spans="1:19" x14ac:dyDescent="0.35">
      <c r="A34" s="32" t="s">
        <v>165</v>
      </c>
      <c r="B34" s="37"/>
      <c r="C34" s="80"/>
      <c r="D34" s="59"/>
      <c r="E34" s="59"/>
      <c r="F34" s="59"/>
      <c r="G34" s="59"/>
      <c r="H34" s="59"/>
      <c r="I34" s="59"/>
      <c r="J34" s="59"/>
      <c r="K34" s="59"/>
      <c r="L34" s="59"/>
      <c r="M34" s="34" t="s">
        <v>264</v>
      </c>
      <c r="N34" s="59" t="s">
        <v>264</v>
      </c>
      <c r="O34" s="59"/>
      <c r="P34" s="59"/>
      <c r="Q34" s="59"/>
      <c r="R34" s="59"/>
      <c r="S34" s="59"/>
    </row>
    <row r="35" spans="1:19" x14ac:dyDescent="0.35">
      <c r="A35" s="225" t="s">
        <v>167</v>
      </c>
      <c r="B35" s="225"/>
      <c r="C35" s="102">
        <f>IFERROR(C32-C31,"")</f>
        <v>0</v>
      </c>
      <c r="D35" s="102">
        <f t="shared" ref="D35:S35" si="5">IFERROR(D32-D31,"")</f>
        <v>0</v>
      </c>
      <c r="E35" s="102">
        <f t="shared" si="5"/>
        <v>0</v>
      </c>
      <c r="F35" s="102">
        <f t="shared" si="5"/>
        <v>0</v>
      </c>
      <c r="G35" s="102">
        <f t="shared" si="5"/>
        <v>0</v>
      </c>
      <c r="H35" s="102">
        <f t="shared" si="5"/>
        <v>0</v>
      </c>
      <c r="I35" s="102">
        <f t="shared" si="5"/>
        <v>0</v>
      </c>
      <c r="J35" s="102">
        <f t="shared" si="5"/>
        <v>0</v>
      </c>
      <c r="K35" s="102">
        <f t="shared" si="5"/>
        <v>0</v>
      </c>
      <c r="L35" s="102">
        <f t="shared" si="5"/>
        <v>0</v>
      </c>
      <c r="M35" s="102">
        <f t="shared" si="5"/>
        <v>4700</v>
      </c>
      <c r="N35" s="102">
        <f t="shared" si="5"/>
        <v>3072</v>
      </c>
      <c r="O35" s="102">
        <f t="shared" si="5"/>
        <v>0</v>
      </c>
      <c r="P35" s="102">
        <f t="shared" si="5"/>
        <v>0</v>
      </c>
      <c r="Q35" s="102">
        <f t="shared" si="5"/>
        <v>0</v>
      </c>
      <c r="R35" s="102">
        <f t="shared" si="5"/>
        <v>0</v>
      </c>
      <c r="S35" s="102">
        <f t="shared" si="5"/>
        <v>0</v>
      </c>
    </row>
    <row r="36" spans="1:19" ht="16.399999999999999" customHeight="1" x14ac:dyDescent="0.35">
      <c r="A36" s="65" t="s">
        <v>2</v>
      </c>
      <c r="B36" s="65"/>
      <c r="C36" s="103">
        <f>AVERAGE(C28,C21,C14,C35)</f>
        <v>7588.5</v>
      </c>
      <c r="D36" s="103">
        <f t="shared" ref="D36:S36" si="6">AVERAGE(D28,D21,D14,D35)</f>
        <v>7588.5</v>
      </c>
      <c r="E36" s="103">
        <f t="shared" si="6"/>
        <v>4408.5</v>
      </c>
      <c r="F36" s="103">
        <f t="shared" si="6"/>
        <v>3911.5</v>
      </c>
      <c r="G36" s="103">
        <f t="shared" si="6"/>
        <v>7588.5</v>
      </c>
      <c r="H36" s="103">
        <f t="shared" si="6"/>
        <v>0</v>
      </c>
      <c r="I36" s="103">
        <f t="shared" si="6"/>
        <v>0</v>
      </c>
      <c r="J36" s="103">
        <f t="shared" si="6"/>
        <v>0</v>
      </c>
      <c r="K36" s="103">
        <f t="shared" si="6"/>
        <v>7588.5</v>
      </c>
      <c r="L36" s="103">
        <f t="shared" si="6"/>
        <v>7588.5</v>
      </c>
      <c r="M36" s="103">
        <f t="shared" si="6"/>
        <v>3278.75</v>
      </c>
      <c r="N36" s="103">
        <f t="shared" si="6"/>
        <v>3278.75</v>
      </c>
      <c r="O36" s="103">
        <f t="shared" si="6"/>
        <v>0</v>
      </c>
      <c r="P36" s="103">
        <f t="shared" si="6"/>
        <v>0</v>
      </c>
      <c r="Q36" s="103">
        <f t="shared" si="6"/>
        <v>0</v>
      </c>
      <c r="R36" s="103">
        <f t="shared" si="6"/>
        <v>6611.75</v>
      </c>
      <c r="S36" s="103">
        <f t="shared" si="6"/>
        <v>0</v>
      </c>
    </row>
    <row r="37" spans="1:19" x14ac:dyDescent="0.35">
      <c r="A37" s="21" t="s">
        <v>159</v>
      </c>
      <c r="B37" s="22"/>
      <c r="C37" s="80"/>
      <c r="D37" s="59"/>
      <c r="E37" s="59"/>
      <c r="F37" s="59"/>
      <c r="G37" s="59"/>
      <c r="H37" s="59"/>
      <c r="I37" s="59"/>
      <c r="J37" s="77"/>
      <c r="K37" s="59"/>
      <c r="L37" s="59"/>
      <c r="M37" s="206" t="s">
        <v>334</v>
      </c>
      <c r="N37" s="77" t="s">
        <v>334</v>
      </c>
      <c r="O37" s="77"/>
      <c r="P37" s="59"/>
      <c r="Q37" s="59"/>
      <c r="R37" s="59"/>
      <c r="S37" s="59"/>
    </row>
    <row r="38" spans="1:19" x14ac:dyDescent="0.35">
      <c r="A38" s="26" t="s">
        <v>161</v>
      </c>
      <c r="B38" s="27" t="s">
        <v>162</v>
      </c>
      <c r="C38" s="80"/>
      <c r="D38" s="59"/>
      <c r="E38" s="59"/>
      <c r="F38" s="59"/>
      <c r="G38" s="59"/>
      <c r="H38" s="59"/>
      <c r="I38" s="59"/>
      <c r="J38" s="59"/>
      <c r="K38" s="59"/>
      <c r="L38" s="59"/>
      <c r="M38" s="59">
        <v>13115</v>
      </c>
      <c r="N38" s="59">
        <v>13115</v>
      </c>
      <c r="O38" s="59"/>
      <c r="P38" s="59"/>
      <c r="Q38" s="59"/>
      <c r="R38" s="59"/>
      <c r="S38" s="59"/>
    </row>
    <row r="39" spans="1:19" x14ac:dyDescent="0.35">
      <c r="A39" s="26" t="s">
        <v>161</v>
      </c>
      <c r="B39" s="27" t="s">
        <v>163</v>
      </c>
      <c r="C39" s="80"/>
      <c r="D39" s="59"/>
      <c r="E39" s="59"/>
      <c r="F39" s="59"/>
      <c r="G39" s="59"/>
      <c r="H39" s="59"/>
      <c r="I39" s="59"/>
      <c r="J39" s="59"/>
      <c r="K39" s="59"/>
      <c r="L39" s="59"/>
      <c r="M39" s="59">
        <v>23333</v>
      </c>
      <c r="N39" s="59">
        <v>15151</v>
      </c>
      <c r="O39" s="59"/>
      <c r="P39" s="59"/>
      <c r="Q39" s="59"/>
      <c r="R39" s="59"/>
      <c r="S39" s="59"/>
    </row>
    <row r="40" spans="1:19" x14ac:dyDescent="0.35">
      <c r="A40" s="26" t="s">
        <v>164</v>
      </c>
      <c r="B40" s="27"/>
      <c r="C40" s="80"/>
      <c r="D40" s="59"/>
      <c r="E40" s="59"/>
      <c r="F40" s="59"/>
      <c r="G40" s="59"/>
      <c r="H40" s="59"/>
      <c r="I40" s="59"/>
      <c r="J40" s="77"/>
      <c r="K40" s="59"/>
      <c r="L40" s="59"/>
      <c r="M40" s="206" t="s">
        <v>282</v>
      </c>
      <c r="N40" s="77" t="s">
        <v>335</v>
      </c>
      <c r="O40" s="102"/>
      <c r="P40" s="59"/>
      <c r="Q40" s="59"/>
      <c r="R40" s="59"/>
      <c r="S40" s="59"/>
    </row>
    <row r="41" spans="1:19" x14ac:dyDescent="0.35">
      <c r="A41" s="32" t="s">
        <v>165</v>
      </c>
      <c r="B41" s="37"/>
      <c r="C41" s="80"/>
      <c r="D41" s="59"/>
      <c r="E41" s="59"/>
      <c r="F41" s="59"/>
      <c r="G41" s="59"/>
      <c r="H41" s="59"/>
      <c r="I41" s="59"/>
      <c r="J41" s="59"/>
      <c r="K41" s="59"/>
      <c r="L41" s="59"/>
      <c r="M41" s="34" t="s">
        <v>264</v>
      </c>
      <c r="N41" s="59" t="s">
        <v>264</v>
      </c>
      <c r="O41" s="59"/>
      <c r="P41" s="59"/>
      <c r="Q41" s="59"/>
      <c r="R41" s="59"/>
      <c r="S41" s="59"/>
    </row>
    <row r="42" spans="1:19" x14ac:dyDescent="0.35">
      <c r="A42" s="225" t="s">
        <v>167</v>
      </c>
      <c r="B42" s="225"/>
      <c r="C42" s="102">
        <f>IFERROR(C39-C38,"")</f>
        <v>0</v>
      </c>
      <c r="D42" s="102">
        <f t="shared" ref="D42:S42" si="7">IFERROR(D39-D38,"")</f>
        <v>0</v>
      </c>
      <c r="E42" s="102">
        <f t="shared" si="7"/>
        <v>0</v>
      </c>
      <c r="F42" s="102">
        <f t="shared" si="7"/>
        <v>0</v>
      </c>
      <c r="G42" s="102">
        <f t="shared" si="7"/>
        <v>0</v>
      </c>
      <c r="H42" s="102">
        <f t="shared" si="7"/>
        <v>0</v>
      </c>
      <c r="I42" s="102">
        <f t="shared" si="7"/>
        <v>0</v>
      </c>
      <c r="J42" s="102">
        <f t="shared" si="7"/>
        <v>0</v>
      </c>
      <c r="K42" s="102">
        <f t="shared" si="7"/>
        <v>0</v>
      </c>
      <c r="L42" s="102">
        <f t="shared" si="7"/>
        <v>0</v>
      </c>
      <c r="M42" s="102">
        <f t="shared" si="7"/>
        <v>10218</v>
      </c>
      <c r="N42" s="102">
        <f t="shared" si="7"/>
        <v>2036</v>
      </c>
      <c r="O42" s="102">
        <f t="shared" si="7"/>
        <v>0</v>
      </c>
      <c r="P42" s="102">
        <f t="shared" si="7"/>
        <v>0</v>
      </c>
      <c r="Q42" s="102">
        <f t="shared" si="7"/>
        <v>0</v>
      </c>
      <c r="R42" s="102">
        <f t="shared" si="7"/>
        <v>0</v>
      </c>
      <c r="S42" s="102">
        <f t="shared" si="7"/>
        <v>0</v>
      </c>
    </row>
    <row r="43" spans="1:19" ht="16.399999999999999" customHeight="1" x14ac:dyDescent="0.35">
      <c r="A43" s="65" t="s">
        <v>2</v>
      </c>
      <c r="B43" s="65"/>
      <c r="C43" s="103">
        <f>AVERAGE(C42,C35,C28,C21,C14)</f>
        <v>6070.8</v>
      </c>
      <c r="D43" s="103">
        <f t="shared" ref="D43:S43" si="8">AVERAGE(D42,D35,D28,D21,D14)</f>
        <v>6070.8</v>
      </c>
      <c r="E43" s="103">
        <f t="shared" si="8"/>
        <v>3526.8</v>
      </c>
      <c r="F43" s="103">
        <f t="shared" si="8"/>
        <v>3129.2</v>
      </c>
      <c r="G43" s="103">
        <f t="shared" si="8"/>
        <v>6070.8</v>
      </c>
      <c r="H43" s="103">
        <f t="shared" si="8"/>
        <v>0</v>
      </c>
      <c r="I43" s="103">
        <f t="shared" si="8"/>
        <v>0</v>
      </c>
      <c r="J43" s="103">
        <f t="shared" si="8"/>
        <v>0</v>
      </c>
      <c r="K43" s="103">
        <f t="shared" si="8"/>
        <v>6070.8</v>
      </c>
      <c r="L43" s="103">
        <f t="shared" si="8"/>
        <v>6070.8</v>
      </c>
      <c r="M43" s="103">
        <f t="shared" si="8"/>
        <v>4666.6000000000004</v>
      </c>
      <c r="N43" s="103">
        <f t="shared" si="8"/>
        <v>3030.2</v>
      </c>
      <c r="O43" s="103">
        <f t="shared" si="8"/>
        <v>0</v>
      </c>
      <c r="P43" s="103">
        <f t="shared" si="8"/>
        <v>0</v>
      </c>
      <c r="Q43" s="103">
        <f t="shared" si="8"/>
        <v>0</v>
      </c>
      <c r="R43" s="103">
        <f t="shared" si="8"/>
        <v>5289.4</v>
      </c>
      <c r="S43" s="103">
        <f t="shared" si="8"/>
        <v>0</v>
      </c>
    </row>
    <row r="44" spans="1:19" x14ac:dyDescent="0.35">
      <c r="A44" s="21" t="s">
        <v>159</v>
      </c>
      <c r="B44" s="22"/>
      <c r="C44" s="80"/>
      <c r="D44" s="59"/>
      <c r="E44" s="59"/>
      <c r="F44" s="59"/>
      <c r="G44" s="59"/>
      <c r="H44" s="59"/>
      <c r="I44" s="59"/>
      <c r="J44" s="77"/>
      <c r="K44" s="59"/>
      <c r="L44" s="59"/>
      <c r="M44" s="206" t="s">
        <v>282</v>
      </c>
      <c r="N44" s="77" t="s">
        <v>335</v>
      </c>
      <c r="O44" s="77"/>
      <c r="P44" s="59"/>
      <c r="Q44" s="59"/>
      <c r="R44" s="59"/>
      <c r="S44" s="59"/>
    </row>
    <row r="45" spans="1:19" x14ac:dyDescent="0.35">
      <c r="A45" s="26" t="s">
        <v>161</v>
      </c>
      <c r="B45" s="27" t="s">
        <v>162</v>
      </c>
      <c r="C45" s="80"/>
      <c r="D45" s="59"/>
      <c r="E45" s="59"/>
      <c r="F45" s="59"/>
      <c r="G45" s="59"/>
      <c r="H45" s="59"/>
      <c r="I45" s="59"/>
      <c r="J45" s="59"/>
      <c r="K45" s="59"/>
      <c r="L45" s="59"/>
      <c r="M45" s="59">
        <v>23333</v>
      </c>
      <c r="N45" s="59">
        <v>15151</v>
      </c>
      <c r="O45" s="59"/>
      <c r="P45" s="59"/>
      <c r="Q45" s="59"/>
      <c r="R45" s="59"/>
      <c r="S45" s="59"/>
    </row>
    <row r="46" spans="1:19" x14ac:dyDescent="0.35">
      <c r="A46" s="26" t="s">
        <v>161</v>
      </c>
      <c r="B46" s="27" t="s">
        <v>163</v>
      </c>
      <c r="C46" s="80"/>
      <c r="D46" s="59"/>
      <c r="E46" s="59"/>
      <c r="F46" s="59"/>
      <c r="G46" s="59"/>
      <c r="H46" s="59"/>
      <c r="I46" s="59"/>
      <c r="J46" s="59"/>
      <c r="K46" s="59"/>
      <c r="L46" s="59"/>
      <c r="M46" s="218">
        <v>27365</v>
      </c>
      <c r="N46" s="59">
        <v>15646</v>
      </c>
      <c r="O46" s="59"/>
      <c r="P46" s="59"/>
      <c r="Q46" s="59"/>
      <c r="R46" s="59"/>
      <c r="S46" s="59"/>
    </row>
    <row r="47" spans="1:19" x14ac:dyDescent="0.35">
      <c r="A47" s="26" t="s">
        <v>164</v>
      </c>
      <c r="B47" s="27"/>
      <c r="C47" s="80"/>
      <c r="D47" s="59"/>
      <c r="E47" s="59"/>
      <c r="F47" s="59"/>
      <c r="G47" s="59"/>
      <c r="H47" s="59"/>
      <c r="I47" s="59"/>
      <c r="J47" s="77"/>
      <c r="K47" s="59"/>
      <c r="L47" s="59"/>
      <c r="M47" s="206" t="s">
        <v>265</v>
      </c>
      <c r="N47" s="59" t="s">
        <v>325</v>
      </c>
      <c r="O47" s="59"/>
      <c r="P47" s="59"/>
      <c r="Q47" s="59"/>
      <c r="R47" s="59"/>
      <c r="S47" s="59"/>
    </row>
    <row r="48" spans="1:19" x14ac:dyDescent="0.35">
      <c r="A48" s="32" t="s">
        <v>165</v>
      </c>
      <c r="B48" s="37"/>
      <c r="C48" s="80"/>
      <c r="D48" s="59"/>
      <c r="E48" s="59"/>
      <c r="F48" s="59"/>
      <c r="G48" s="59"/>
      <c r="H48" s="59"/>
      <c r="I48" s="59"/>
      <c r="J48" s="59"/>
      <c r="K48" s="59"/>
      <c r="L48" s="59"/>
      <c r="M48" s="34" t="s">
        <v>264</v>
      </c>
      <c r="N48" s="59" t="s">
        <v>264</v>
      </c>
      <c r="O48" s="59"/>
      <c r="P48" s="59"/>
      <c r="Q48" s="59"/>
      <c r="R48" s="59"/>
      <c r="S48" s="59"/>
    </row>
    <row r="49" spans="1:19" x14ac:dyDescent="0.35">
      <c r="A49" s="225" t="s">
        <v>167</v>
      </c>
      <c r="B49" s="225"/>
      <c r="C49" s="102">
        <f>IFERROR(C46-C45,"")</f>
        <v>0</v>
      </c>
      <c r="D49" s="102">
        <f t="shared" ref="D49:S49" si="9">IFERROR(D46-D45,"")</f>
        <v>0</v>
      </c>
      <c r="E49" s="102">
        <f t="shared" si="9"/>
        <v>0</v>
      </c>
      <c r="F49" s="102">
        <f t="shared" si="9"/>
        <v>0</v>
      </c>
      <c r="G49" s="102">
        <f t="shared" si="9"/>
        <v>0</v>
      </c>
      <c r="H49" s="102">
        <f t="shared" si="9"/>
        <v>0</v>
      </c>
      <c r="I49" s="102">
        <f t="shared" si="9"/>
        <v>0</v>
      </c>
      <c r="J49" s="102">
        <f t="shared" si="9"/>
        <v>0</v>
      </c>
      <c r="K49" s="102">
        <f t="shared" si="9"/>
        <v>0</v>
      </c>
      <c r="L49" s="102">
        <f t="shared" si="9"/>
        <v>0</v>
      </c>
      <c r="M49" s="102">
        <f t="shared" si="9"/>
        <v>4032</v>
      </c>
      <c r="N49" s="102">
        <f t="shared" si="9"/>
        <v>495</v>
      </c>
      <c r="O49" s="102">
        <f t="shared" si="9"/>
        <v>0</v>
      </c>
      <c r="P49" s="102">
        <f t="shared" si="9"/>
        <v>0</v>
      </c>
      <c r="Q49" s="102">
        <f t="shared" si="9"/>
        <v>0</v>
      </c>
      <c r="R49" s="102">
        <f t="shared" si="9"/>
        <v>0</v>
      </c>
      <c r="S49" s="102">
        <f t="shared" si="9"/>
        <v>0</v>
      </c>
    </row>
    <row r="50" spans="1:19" ht="16.399999999999999" customHeight="1" x14ac:dyDescent="0.35">
      <c r="A50" s="65" t="s">
        <v>2</v>
      </c>
      <c r="B50" s="65"/>
      <c r="C50" s="103">
        <f>AVERAGE(C49,C42,C35,C28,C21,C14)</f>
        <v>5059</v>
      </c>
      <c r="D50" s="103">
        <f t="shared" ref="D50:S50" si="10">AVERAGE(D49,D42,D35,D28,D21,D14)</f>
        <v>5059</v>
      </c>
      <c r="E50" s="103">
        <f t="shared" si="10"/>
        <v>2939</v>
      </c>
      <c r="F50" s="103">
        <f t="shared" si="10"/>
        <v>2607.6666666666665</v>
      </c>
      <c r="G50" s="103">
        <f t="shared" si="10"/>
        <v>5059</v>
      </c>
      <c r="H50" s="103">
        <f t="shared" si="10"/>
        <v>0</v>
      </c>
      <c r="I50" s="103">
        <f t="shared" si="10"/>
        <v>0</v>
      </c>
      <c r="J50" s="103">
        <f t="shared" si="10"/>
        <v>0</v>
      </c>
      <c r="K50" s="103">
        <f t="shared" si="10"/>
        <v>5059</v>
      </c>
      <c r="L50" s="103">
        <f t="shared" si="10"/>
        <v>5059</v>
      </c>
      <c r="M50" s="103">
        <f t="shared" si="10"/>
        <v>4560.833333333333</v>
      </c>
      <c r="N50" s="103">
        <f t="shared" si="10"/>
        <v>2607.6666666666665</v>
      </c>
      <c r="O50" s="103">
        <f t="shared" si="10"/>
        <v>0</v>
      </c>
      <c r="P50" s="103">
        <f t="shared" si="10"/>
        <v>0</v>
      </c>
      <c r="Q50" s="103">
        <f t="shared" si="10"/>
        <v>0</v>
      </c>
      <c r="R50" s="103">
        <f t="shared" si="10"/>
        <v>4407.833333333333</v>
      </c>
      <c r="S50" s="103">
        <f t="shared" si="10"/>
        <v>0</v>
      </c>
    </row>
    <row r="51" spans="1:19" x14ac:dyDescent="0.35">
      <c r="A51" s="21" t="s">
        <v>159</v>
      </c>
      <c r="B51" s="22"/>
      <c r="C51" s="80"/>
      <c r="D51" s="59"/>
      <c r="E51" s="59"/>
      <c r="F51" s="59"/>
      <c r="G51" s="59"/>
      <c r="H51" s="59"/>
      <c r="I51" s="59"/>
      <c r="J51" s="77"/>
      <c r="K51" s="59"/>
      <c r="L51" s="59"/>
      <c r="M51" s="77" t="s">
        <v>265</v>
      </c>
      <c r="N51" s="77" t="s">
        <v>325</v>
      </c>
      <c r="O51" s="77"/>
      <c r="P51" s="59"/>
      <c r="Q51" s="59"/>
      <c r="R51" s="59"/>
      <c r="S51" s="59"/>
    </row>
    <row r="52" spans="1:19" x14ac:dyDescent="0.35">
      <c r="A52" s="26" t="s">
        <v>161</v>
      </c>
      <c r="B52" s="27" t="s">
        <v>162</v>
      </c>
      <c r="C52" s="80"/>
      <c r="D52" s="59"/>
      <c r="E52" s="59"/>
      <c r="F52" s="59"/>
      <c r="G52" s="59"/>
      <c r="H52" s="59"/>
      <c r="I52" s="59"/>
      <c r="J52" s="59"/>
      <c r="K52" s="59"/>
      <c r="L52" s="59"/>
      <c r="M52" s="59">
        <v>27365</v>
      </c>
      <c r="N52" s="59">
        <v>15646</v>
      </c>
      <c r="O52" s="59"/>
      <c r="P52" s="59"/>
      <c r="Q52" s="59"/>
      <c r="R52" s="59"/>
      <c r="S52" s="59"/>
    </row>
    <row r="53" spans="1:19" x14ac:dyDescent="0.35">
      <c r="A53" s="26" t="s">
        <v>161</v>
      </c>
      <c r="B53" s="27" t="s">
        <v>163</v>
      </c>
      <c r="C53" s="80"/>
      <c r="D53" s="59"/>
      <c r="E53" s="59"/>
      <c r="F53" s="59"/>
      <c r="G53" s="59"/>
      <c r="H53" s="59"/>
      <c r="I53" s="59"/>
      <c r="J53" s="59"/>
      <c r="K53" s="59"/>
      <c r="L53" s="59"/>
      <c r="M53" s="59">
        <v>30354</v>
      </c>
      <c r="N53" s="59">
        <v>27365</v>
      </c>
      <c r="O53" s="59"/>
      <c r="P53" s="59"/>
      <c r="Q53" s="59"/>
      <c r="R53" s="59"/>
      <c r="S53" s="59"/>
    </row>
    <row r="54" spans="1:19" x14ac:dyDescent="0.35">
      <c r="A54" s="26" t="s">
        <v>164</v>
      </c>
      <c r="B54" s="27"/>
      <c r="C54" s="80"/>
      <c r="D54" s="59"/>
      <c r="E54" s="59"/>
      <c r="F54" s="59"/>
      <c r="G54" s="59"/>
      <c r="H54" s="59"/>
      <c r="I54" s="59"/>
      <c r="J54" s="77"/>
      <c r="K54" s="59"/>
      <c r="L54" s="59"/>
      <c r="M54" s="77" t="s">
        <v>249</v>
      </c>
      <c r="N54" s="59" t="s">
        <v>265</v>
      </c>
      <c r="O54" s="59"/>
      <c r="P54" s="59"/>
      <c r="Q54" s="59"/>
      <c r="R54" s="59"/>
      <c r="S54" s="59"/>
    </row>
    <row r="55" spans="1:19" x14ac:dyDescent="0.35">
      <c r="A55" s="32" t="s">
        <v>165</v>
      </c>
      <c r="B55" s="37"/>
      <c r="C55" s="80"/>
      <c r="D55" s="59"/>
      <c r="E55" s="59"/>
      <c r="F55" s="59"/>
      <c r="G55" s="59"/>
      <c r="H55" s="59"/>
      <c r="I55" s="59"/>
      <c r="J55" s="59"/>
      <c r="K55" s="59"/>
      <c r="L55" s="59"/>
      <c r="M55" s="59" t="s">
        <v>252</v>
      </c>
      <c r="N55" s="59" t="s">
        <v>264</v>
      </c>
      <c r="O55" s="59"/>
      <c r="P55" s="59"/>
      <c r="Q55" s="59"/>
      <c r="R55" s="59"/>
      <c r="S55" s="59"/>
    </row>
    <row r="56" spans="1:19" x14ac:dyDescent="0.35">
      <c r="A56" s="225" t="s">
        <v>167</v>
      </c>
      <c r="B56" s="225"/>
      <c r="C56" s="102">
        <f>IFERROR(C53-C52,"")</f>
        <v>0</v>
      </c>
      <c r="D56" s="102">
        <f t="shared" ref="D56:S56" si="11">IFERROR(D53-D52,"")</f>
        <v>0</v>
      </c>
      <c r="E56" s="102">
        <f t="shared" si="11"/>
        <v>0</v>
      </c>
      <c r="F56" s="102">
        <f t="shared" si="11"/>
        <v>0</v>
      </c>
      <c r="G56" s="102">
        <f t="shared" si="11"/>
        <v>0</v>
      </c>
      <c r="H56" s="102">
        <f t="shared" si="11"/>
        <v>0</v>
      </c>
      <c r="I56" s="102">
        <f t="shared" si="11"/>
        <v>0</v>
      </c>
      <c r="J56" s="102">
        <f t="shared" si="11"/>
        <v>0</v>
      </c>
      <c r="K56" s="102">
        <f t="shared" si="11"/>
        <v>0</v>
      </c>
      <c r="L56" s="102">
        <f t="shared" si="11"/>
        <v>0</v>
      </c>
      <c r="M56" s="102">
        <f t="shared" si="11"/>
        <v>2989</v>
      </c>
      <c r="N56" s="102">
        <f t="shared" si="11"/>
        <v>11719</v>
      </c>
      <c r="O56" s="102">
        <f t="shared" si="11"/>
        <v>0</v>
      </c>
      <c r="P56" s="102">
        <f t="shared" si="11"/>
        <v>0</v>
      </c>
      <c r="Q56" s="102">
        <f t="shared" si="11"/>
        <v>0</v>
      </c>
      <c r="R56" s="102">
        <f t="shared" si="11"/>
        <v>0</v>
      </c>
      <c r="S56" s="102">
        <f t="shared" si="11"/>
        <v>0</v>
      </c>
    </row>
    <row r="57" spans="1:19" ht="16.399999999999999" customHeight="1" x14ac:dyDescent="0.35">
      <c r="A57" s="65" t="s">
        <v>2</v>
      </c>
      <c r="B57" s="65"/>
      <c r="C57" s="103">
        <f>AVERAGE(C56,C49,C42,C35,C28,C21,C14)</f>
        <v>4336.2857142857147</v>
      </c>
      <c r="D57" s="103">
        <f t="shared" ref="D57:S57" si="12">AVERAGE(D56,D49,D42,D35,D28,D21,D14)</f>
        <v>4336.2857142857147</v>
      </c>
      <c r="E57" s="103">
        <f t="shared" si="12"/>
        <v>2519.1428571428573</v>
      </c>
      <c r="F57" s="103">
        <f t="shared" si="12"/>
        <v>2235.1428571428573</v>
      </c>
      <c r="G57" s="103">
        <f t="shared" si="12"/>
        <v>4336.2857142857147</v>
      </c>
      <c r="H57" s="103">
        <f t="shared" si="12"/>
        <v>0</v>
      </c>
      <c r="I57" s="103">
        <f t="shared" si="12"/>
        <v>0</v>
      </c>
      <c r="J57" s="103">
        <f t="shared" si="12"/>
        <v>0</v>
      </c>
      <c r="K57" s="103">
        <f t="shared" si="12"/>
        <v>4336.2857142857147</v>
      </c>
      <c r="L57" s="103">
        <f t="shared" si="12"/>
        <v>4336.2857142857147</v>
      </c>
      <c r="M57" s="103">
        <f t="shared" si="12"/>
        <v>4336.2857142857147</v>
      </c>
      <c r="N57" s="103">
        <f t="shared" si="12"/>
        <v>3909.2857142857142</v>
      </c>
      <c r="O57" s="103">
        <f t="shared" si="12"/>
        <v>0</v>
      </c>
      <c r="P57" s="103">
        <f t="shared" si="12"/>
        <v>0</v>
      </c>
      <c r="Q57" s="103">
        <f t="shared" si="12"/>
        <v>0</v>
      </c>
      <c r="R57" s="103">
        <f t="shared" si="12"/>
        <v>3778.1428571428573</v>
      </c>
      <c r="S57" s="103">
        <f t="shared" si="12"/>
        <v>0</v>
      </c>
    </row>
    <row r="58" spans="1:19" x14ac:dyDescent="0.35">
      <c r="A58" s="21" t="s">
        <v>159</v>
      </c>
      <c r="B58" s="22"/>
      <c r="C58" s="80"/>
      <c r="D58" s="59"/>
      <c r="E58" s="59"/>
      <c r="F58" s="59"/>
      <c r="G58" s="59"/>
      <c r="H58" s="59"/>
      <c r="I58" s="59"/>
      <c r="J58" s="77"/>
      <c r="K58" s="59"/>
      <c r="L58" s="59"/>
      <c r="M58" s="77"/>
      <c r="N58" s="59" t="s">
        <v>265</v>
      </c>
      <c r="O58" s="77"/>
      <c r="P58" s="59"/>
      <c r="Q58" s="59"/>
      <c r="R58" s="59"/>
      <c r="S58" s="59"/>
    </row>
    <row r="59" spans="1:19" x14ac:dyDescent="0.35">
      <c r="A59" s="26" t="s">
        <v>161</v>
      </c>
      <c r="B59" s="27" t="s">
        <v>162</v>
      </c>
      <c r="C59" s="80"/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>
        <v>27365</v>
      </c>
      <c r="O59" s="59"/>
      <c r="P59" s="59"/>
      <c r="Q59" s="59"/>
      <c r="R59" s="59"/>
      <c r="S59" s="59"/>
    </row>
    <row r="60" spans="1:19" x14ac:dyDescent="0.35">
      <c r="A60" s="26" t="s">
        <v>161</v>
      </c>
      <c r="B60" s="27" t="s">
        <v>163</v>
      </c>
      <c r="C60" s="80"/>
      <c r="D60" s="59"/>
      <c r="E60" s="59"/>
      <c r="F60" s="59"/>
      <c r="G60" s="59"/>
      <c r="H60" s="59"/>
      <c r="I60" s="59"/>
      <c r="J60" s="59"/>
      <c r="K60" s="59"/>
      <c r="L60" s="59"/>
      <c r="M60" s="59"/>
      <c r="N60" s="59">
        <v>30354</v>
      </c>
      <c r="O60" s="59"/>
      <c r="P60" s="59"/>
      <c r="Q60" s="59"/>
      <c r="R60" s="59"/>
      <c r="S60" s="59"/>
    </row>
    <row r="61" spans="1:19" x14ac:dyDescent="0.35">
      <c r="A61" s="26" t="s">
        <v>164</v>
      </c>
      <c r="B61" s="27"/>
      <c r="C61" s="80"/>
      <c r="D61" s="59"/>
      <c r="E61" s="59"/>
      <c r="F61" s="59"/>
      <c r="G61" s="59"/>
      <c r="H61" s="59"/>
      <c r="I61" s="59"/>
      <c r="J61" s="77"/>
      <c r="K61" s="59"/>
      <c r="L61" s="59"/>
      <c r="M61" s="77"/>
      <c r="N61" s="221" t="s">
        <v>249</v>
      </c>
      <c r="O61" s="59"/>
      <c r="P61" s="59"/>
      <c r="Q61" s="59"/>
      <c r="R61" s="59"/>
      <c r="S61" s="59"/>
    </row>
    <row r="62" spans="1:19" x14ac:dyDescent="0.35">
      <c r="A62" s="32" t="s">
        <v>165</v>
      </c>
      <c r="B62" s="37"/>
      <c r="C62" s="80"/>
      <c r="D62" s="59"/>
      <c r="E62" s="59"/>
      <c r="F62" s="59"/>
      <c r="G62" s="59"/>
      <c r="H62" s="59"/>
      <c r="I62" s="59"/>
      <c r="J62" s="59"/>
      <c r="K62" s="59"/>
      <c r="L62" s="59"/>
      <c r="M62" s="59"/>
      <c r="N62" s="222" t="s">
        <v>267</v>
      </c>
      <c r="O62" s="59"/>
      <c r="P62" s="59"/>
      <c r="Q62" s="59"/>
      <c r="R62" s="59"/>
      <c r="S62" s="59"/>
    </row>
    <row r="63" spans="1:19" x14ac:dyDescent="0.35">
      <c r="A63" s="225" t="s">
        <v>167</v>
      </c>
      <c r="B63" s="225"/>
      <c r="C63" s="102">
        <f t="shared" ref="C63:S63" si="13">IFERROR(C60-C59,"")</f>
        <v>0</v>
      </c>
      <c r="D63" s="102">
        <f t="shared" si="13"/>
        <v>0</v>
      </c>
      <c r="E63" s="102">
        <f t="shared" si="13"/>
        <v>0</v>
      </c>
      <c r="F63" s="102">
        <f t="shared" si="13"/>
        <v>0</v>
      </c>
      <c r="G63" s="102">
        <f t="shared" si="13"/>
        <v>0</v>
      </c>
      <c r="H63" s="102">
        <f t="shared" si="13"/>
        <v>0</v>
      </c>
      <c r="I63" s="102">
        <f t="shared" si="13"/>
        <v>0</v>
      </c>
      <c r="J63" s="102">
        <f t="shared" si="13"/>
        <v>0</v>
      </c>
      <c r="K63" s="102">
        <f t="shared" si="13"/>
        <v>0</v>
      </c>
      <c r="L63" s="102">
        <f t="shared" si="13"/>
        <v>0</v>
      </c>
      <c r="M63" s="102">
        <f t="shared" si="13"/>
        <v>0</v>
      </c>
      <c r="N63" s="102">
        <f t="shared" si="13"/>
        <v>2989</v>
      </c>
      <c r="O63" s="102">
        <f t="shared" si="13"/>
        <v>0</v>
      </c>
      <c r="P63" s="102">
        <f t="shared" si="13"/>
        <v>0</v>
      </c>
      <c r="Q63" s="102">
        <f t="shared" si="13"/>
        <v>0</v>
      </c>
      <c r="R63" s="102">
        <f t="shared" si="13"/>
        <v>0</v>
      </c>
      <c r="S63" s="102">
        <f t="shared" si="13"/>
        <v>0</v>
      </c>
    </row>
    <row r="64" spans="1:19" ht="16.399999999999999" customHeight="1" x14ac:dyDescent="0.35">
      <c r="A64" s="65" t="s">
        <v>2</v>
      </c>
      <c r="B64" s="65"/>
      <c r="C64" s="103">
        <f>AVERAGE(C63,C56,C49,C42,C35,C28,C21,C14)</f>
        <v>3794.25</v>
      </c>
      <c r="D64" s="103">
        <f t="shared" ref="D64:S64" si="14">AVERAGE(D63,D56,D49,D42,D35,D28,D21,D14)</f>
        <v>3794.25</v>
      </c>
      <c r="E64" s="103">
        <f t="shared" si="14"/>
        <v>2204.25</v>
      </c>
      <c r="F64" s="103">
        <f t="shared" si="14"/>
        <v>1955.75</v>
      </c>
      <c r="G64" s="103">
        <f t="shared" si="14"/>
        <v>3794.25</v>
      </c>
      <c r="H64" s="103">
        <f t="shared" si="14"/>
        <v>0</v>
      </c>
      <c r="I64" s="103">
        <f t="shared" si="14"/>
        <v>0</v>
      </c>
      <c r="J64" s="103">
        <f t="shared" si="14"/>
        <v>0</v>
      </c>
      <c r="K64" s="103">
        <f t="shared" si="14"/>
        <v>3794.25</v>
      </c>
      <c r="L64" s="103">
        <f t="shared" si="14"/>
        <v>3794.25</v>
      </c>
      <c r="M64" s="103">
        <f t="shared" si="14"/>
        <v>3794.25</v>
      </c>
      <c r="N64" s="103">
        <f t="shared" si="14"/>
        <v>3794.25</v>
      </c>
      <c r="O64" s="103">
        <f t="shared" si="14"/>
        <v>0</v>
      </c>
      <c r="P64" s="103">
        <f t="shared" si="14"/>
        <v>0</v>
      </c>
      <c r="Q64" s="103">
        <f t="shared" si="14"/>
        <v>0</v>
      </c>
      <c r="R64" s="103">
        <f t="shared" si="14"/>
        <v>3305.875</v>
      </c>
      <c r="S64" s="103">
        <f t="shared" si="14"/>
        <v>0</v>
      </c>
    </row>
  </sheetData>
  <sheetProtection algorithmName="SHA-512" hashValue="b15yDJ/IDohnSlYNUyd5lXnjRCjT5rxDzZu1D9xUY9uvi/C6EDTeHPNvRB4DdVIE+nQkf+8/2Wnyk7O9KwU7NQ==" saltValue="ex8XJHstATQwUvGoGNit8w==" spinCount="100000" sheet="1" objects="1" scenarios="1"/>
  <autoFilter ref="A2:S64" xr:uid="{00000000-0009-0000-0000-00000C000000}"/>
  <mergeCells count="2">
    <mergeCell ref="B5:C5"/>
    <mergeCell ref="B4:C4"/>
  </mergeCells>
  <conditionalFormatting sqref="Q29:S29">
    <cfRule type="expression" dxfId="1127" priority="223">
      <formula>Q29&lt;Q32</formula>
    </cfRule>
    <cfRule type="expression" dxfId="1126" priority="224">
      <formula>Q29&gt;Q32</formula>
    </cfRule>
  </conditionalFormatting>
  <conditionalFormatting sqref="D29">
    <cfRule type="expression" dxfId="1125" priority="231">
      <formula>D29&lt;D32</formula>
    </cfRule>
    <cfRule type="expression" dxfId="1124" priority="232">
      <formula>D29&gt;$C$19</formula>
    </cfRule>
  </conditionalFormatting>
  <conditionalFormatting sqref="E29">
    <cfRule type="expression" dxfId="1123" priority="229" stopIfTrue="1">
      <formula>E29&lt;E32</formula>
    </cfRule>
    <cfRule type="expression" dxfId="1122" priority="230" stopIfTrue="1">
      <formula>E29&gt;$C$19</formula>
    </cfRule>
  </conditionalFormatting>
  <conditionalFormatting sqref="F29 H29:L29 N29 H36:N36">
    <cfRule type="expression" dxfId="1121" priority="227">
      <formula>F29&lt;F32</formula>
    </cfRule>
    <cfRule type="expression" dxfId="1120" priority="228">
      <formula>F29&gt;F32</formula>
    </cfRule>
  </conditionalFormatting>
  <conditionalFormatting sqref="G29">
    <cfRule type="expression" dxfId="1119" priority="225">
      <formula>G29&lt;G32</formula>
    </cfRule>
    <cfRule type="expression" dxfId="1118" priority="226">
      <formula>G29&gt;G32</formula>
    </cfRule>
  </conditionalFormatting>
  <conditionalFormatting sqref="C29:S29">
    <cfRule type="expression" dxfId="1117" priority="221">
      <formula>C29&lt;C32</formula>
    </cfRule>
    <cfRule type="expression" dxfId="1116" priority="222">
      <formula>C29&gt;C31</formula>
    </cfRule>
  </conditionalFormatting>
  <conditionalFormatting sqref="P29">
    <cfRule type="expression" dxfId="1115" priority="219">
      <formula>P29&lt;P32</formula>
    </cfRule>
    <cfRule type="expression" dxfId="1114" priority="220">
      <formula>P29&gt;P31</formula>
    </cfRule>
  </conditionalFormatting>
  <conditionalFormatting sqref="O29">
    <cfRule type="expression" dxfId="1113" priority="217">
      <formula>O29&lt;O32</formula>
    </cfRule>
    <cfRule type="expression" dxfId="1112" priority="218">
      <formula>O29&gt;O31</formula>
    </cfRule>
  </conditionalFormatting>
  <conditionalFormatting sqref="Q36:S36">
    <cfRule type="expression" dxfId="1111" priority="207">
      <formula>Q36&lt;Q39</formula>
    </cfRule>
    <cfRule type="expression" dxfId="1110" priority="208">
      <formula>Q36&gt;Q39</formula>
    </cfRule>
  </conditionalFormatting>
  <conditionalFormatting sqref="D36">
    <cfRule type="expression" dxfId="1109" priority="215">
      <formula>D36&lt;D39</formula>
    </cfRule>
    <cfRule type="expression" dxfId="1108" priority="216">
      <formula>D36&gt;$C$19</formula>
    </cfRule>
  </conditionalFormatting>
  <conditionalFormatting sqref="E36">
    <cfRule type="expression" dxfId="1107" priority="213" stopIfTrue="1">
      <formula>E36&lt;E39</formula>
    </cfRule>
    <cfRule type="expression" dxfId="1106" priority="214" stopIfTrue="1">
      <formula>E36&gt;$C$19</formula>
    </cfRule>
  </conditionalFormatting>
  <conditionalFormatting sqref="F36">
    <cfRule type="expression" dxfId="1105" priority="211">
      <formula>F36&lt;F39</formula>
    </cfRule>
    <cfRule type="expression" dxfId="1104" priority="212">
      <formula>F36&gt;F39</formula>
    </cfRule>
  </conditionalFormatting>
  <conditionalFormatting sqref="G36">
    <cfRule type="expression" dxfId="1103" priority="209">
      <formula>G36&lt;G39</formula>
    </cfRule>
    <cfRule type="expression" dxfId="1102" priority="210">
      <formula>G36&gt;G39</formula>
    </cfRule>
  </conditionalFormatting>
  <conditionalFormatting sqref="C36:S36">
    <cfRule type="expression" dxfId="1101" priority="205">
      <formula>C36&lt;C39</formula>
    </cfRule>
    <cfRule type="expression" dxfId="1100" priority="206">
      <formula>C36&gt;C38</formula>
    </cfRule>
  </conditionalFormatting>
  <conditionalFormatting sqref="P36">
    <cfRule type="expression" dxfId="1099" priority="203">
      <formula>P36&lt;P39</formula>
    </cfRule>
    <cfRule type="expression" dxfId="1098" priority="204">
      <formula>P36&gt;P38</formula>
    </cfRule>
  </conditionalFormatting>
  <conditionalFormatting sqref="O36">
    <cfRule type="expression" dxfId="1097" priority="201">
      <formula>O36&lt;O39</formula>
    </cfRule>
    <cfRule type="expression" dxfId="1096" priority="202">
      <formula>O36&gt;O38</formula>
    </cfRule>
  </conditionalFormatting>
  <conditionalFormatting sqref="H43:N43">
    <cfRule type="expression" dxfId="1095" priority="199">
      <formula>H43&lt;H46</formula>
    </cfRule>
    <cfRule type="expression" dxfId="1094" priority="200">
      <formula>H43&gt;H46</formula>
    </cfRule>
  </conditionalFormatting>
  <conditionalFormatting sqref="Q43:S43">
    <cfRule type="expression" dxfId="1093" priority="189">
      <formula>Q43&lt;Q46</formula>
    </cfRule>
    <cfRule type="expression" dxfId="1092" priority="190">
      <formula>Q43&gt;Q46</formula>
    </cfRule>
  </conditionalFormatting>
  <conditionalFormatting sqref="D43">
    <cfRule type="expression" dxfId="1091" priority="197">
      <formula>D43&lt;D46</formula>
    </cfRule>
    <cfRule type="expression" dxfId="1090" priority="198">
      <formula>D43&gt;$C$19</formula>
    </cfRule>
  </conditionalFormatting>
  <conditionalFormatting sqref="E43">
    <cfRule type="expression" dxfId="1089" priority="195" stopIfTrue="1">
      <formula>E43&lt;E46</formula>
    </cfRule>
    <cfRule type="expression" dxfId="1088" priority="196" stopIfTrue="1">
      <formula>E43&gt;$C$19</formula>
    </cfRule>
  </conditionalFormatting>
  <conditionalFormatting sqref="F43">
    <cfRule type="expression" dxfId="1087" priority="193">
      <formula>F43&lt;F46</formula>
    </cfRule>
    <cfRule type="expression" dxfId="1086" priority="194">
      <formula>F43&gt;F46</formula>
    </cfRule>
  </conditionalFormatting>
  <conditionalFormatting sqref="G43">
    <cfRule type="expression" dxfId="1085" priority="191">
      <formula>G43&lt;G46</formula>
    </cfRule>
    <cfRule type="expression" dxfId="1084" priority="192">
      <formula>G43&gt;G46</formula>
    </cfRule>
  </conditionalFormatting>
  <conditionalFormatting sqref="C43:S43">
    <cfRule type="expression" dxfId="1083" priority="187">
      <formula>C43&lt;C46</formula>
    </cfRule>
    <cfRule type="expression" dxfId="1082" priority="188">
      <formula>C43&gt;C45</formula>
    </cfRule>
  </conditionalFormatting>
  <conditionalFormatting sqref="P43">
    <cfRule type="expression" dxfId="1081" priority="185">
      <formula>P43&lt;P46</formula>
    </cfRule>
    <cfRule type="expression" dxfId="1080" priority="186">
      <formula>P43&gt;P45</formula>
    </cfRule>
  </conditionalFormatting>
  <conditionalFormatting sqref="O43">
    <cfRule type="expression" dxfId="1079" priority="183">
      <formula>O43&lt;O46</formula>
    </cfRule>
    <cfRule type="expression" dxfId="1078" priority="184">
      <formula>O43&gt;O45</formula>
    </cfRule>
  </conditionalFormatting>
  <conditionalFormatting sqref="H50:N50">
    <cfRule type="expression" dxfId="1077" priority="181">
      <formula>H50&lt;H53</formula>
    </cfRule>
    <cfRule type="expression" dxfId="1076" priority="182">
      <formula>H50&gt;H53</formula>
    </cfRule>
  </conditionalFormatting>
  <conditionalFormatting sqref="Q50:S50">
    <cfRule type="expression" dxfId="1075" priority="171">
      <formula>Q50&lt;Q53</formula>
    </cfRule>
    <cfRule type="expression" dxfId="1074" priority="172">
      <formula>Q50&gt;Q53</formula>
    </cfRule>
  </conditionalFormatting>
  <conditionalFormatting sqref="D50">
    <cfRule type="expression" dxfId="1073" priority="179">
      <formula>D50&lt;D53</formula>
    </cfRule>
    <cfRule type="expression" dxfId="1072" priority="180">
      <formula>D50&gt;$C$19</formula>
    </cfRule>
  </conditionalFormatting>
  <conditionalFormatting sqref="E50">
    <cfRule type="expression" dxfId="1071" priority="177" stopIfTrue="1">
      <formula>E50&lt;E53</formula>
    </cfRule>
    <cfRule type="expression" dxfId="1070" priority="178" stopIfTrue="1">
      <formula>E50&gt;$C$19</formula>
    </cfRule>
  </conditionalFormatting>
  <conditionalFormatting sqref="F50">
    <cfRule type="expression" dxfId="1069" priority="175">
      <formula>F50&lt;F53</formula>
    </cfRule>
    <cfRule type="expression" dxfId="1068" priority="176">
      <formula>F50&gt;F53</formula>
    </cfRule>
  </conditionalFormatting>
  <conditionalFormatting sqref="G50">
    <cfRule type="expression" dxfId="1067" priority="173">
      <formula>G50&lt;G53</formula>
    </cfRule>
    <cfRule type="expression" dxfId="1066" priority="174">
      <formula>G50&gt;G53</formula>
    </cfRule>
  </conditionalFormatting>
  <conditionalFormatting sqref="C50:S50">
    <cfRule type="expression" dxfId="1065" priority="169">
      <formula>C50&lt;C53</formula>
    </cfRule>
    <cfRule type="expression" dxfId="1064" priority="170">
      <formula>C50&gt;C52</formula>
    </cfRule>
  </conditionalFormatting>
  <conditionalFormatting sqref="P50">
    <cfRule type="expression" dxfId="1063" priority="167">
      <formula>P50&lt;P53</formula>
    </cfRule>
    <cfRule type="expression" dxfId="1062" priority="168">
      <formula>P50&gt;P52</formula>
    </cfRule>
  </conditionalFormatting>
  <conditionalFormatting sqref="O50">
    <cfRule type="expression" dxfId="1061" priority="165">
      <formula>O50&lt;O53</formula>
    </cfRule>
    <cfRule type="expression" dxfId="1060" priority="166">
      <formula>O50&gt;O52</formula>
    </cfRule>
  </conditionalFormatting>
  <conditionalFormatting sqref="H57:N57">
    <cfRule type="expression" dxfId="1059" priority="163">
      <formula>H57&lt;H60</formula>
    </cfRule>
    <cfRule type="expression" dxfId="1058" priority="164">
      <formula>H57&gt;H60</formula>
    </cfRule>
  </conditionalFormatting>
  <conditionalFormatting sqref="Q57:S57">
    <cfRule type="expression" dxfId="1057" priority="153">
      <formula>Q57&lt;Q60</formula>
    </cfRule>
    <cfRule type="expression" dxfId="1056" priority="154">
      <formula>Q57&gt;Q60</formula>
    </cfRule>
  </conditionalFormatting>
  <conditionalFormatting sqref="D57">
    <cfRule type="expression" dxfId="1055" priority="161">
      <formula>D57&lt;D60</formula>
    </cfRule>
    <cfRule type="expression" dxfId="1054" priority="162">
      <formula>D57&gt;$C$19</formula>
    </cfRule>
  </conditionalFormatting>
  <conditionalFormatting sqref="E57">
    <cfRule type="expression" dxfId="1053" priority="159" stopIfTrue="1">
      <formula>E57&lt;E60</formula>
    </cfRule>
    <cfRule type="expression" dxfId="1052" priority="160" stopIfTrue="1">
      <formula>E57&gt;$C$19</formula>
    </cfRule>
  </conditionalFormatting>
  <conditionalFormatting sqref="F57">
    <cfRule type="expression" dxfId="1051" priority="157">
      <formula>F57&lt;F60</formula>
    </cfRule>
    <cfRule type="expression" dxfId="1050" priority="158">
      <formula>F57&gt;F60</formula>
    </cfRule>
  </conditionalFormatting>
  <conditionalFormatting sqref="G57">
    <cfRule type="expression" dxfId="1049" priority="155">
      <formula>G57&lt;G60</formula>
    </cfRule>
    <cfRule type="expression" dxfId="1048" priority="156">
      <formula>G57&gt;G60</formula>
    </cfRule>
  </conditionalFormatting>
  <conditionalFormatting sqref="C57:S57">
    <cfRule type="expression" dxfId="1047" priority="151">
      <formula>C57&lt;C60</formula>
    </cfRule>
    <cfRule type="expression" dxfId="1046" priority="152">
      <formula>C57&gt;C59</formula>
    </cfRule>
  </conditionalFormatting>
  <conditionalFormatting sqref="P57">
    <cfRule type="expression" dxfId="1045" priority="149">
      <formula>P57&lt;P60</formula>
    </cfRule>
    <cfRule type="expression" dxfId="1044" priority="150">
      <formula>P57&gt;P59</formula>
    </cfRule>
  </conditionalFormatting>
  <conditionalFormatting sqref="O57">
    <cfRule type="expression" dxfId="1043" priority="147">
      <formula>O57&lt;O60</formula>
    </cfRule>
    <cfRule type="expression" dxfId="1042" priority="148">
      <formula>O57&gt;O59</formula>
    </cfRule>
  </conditionalFormatting>
  <conditionalFormatting sqref="H64:N64 F64">
    <cfRule type="expression" dxfId="1041" priority="233">
      <formula>F64&lt;#REF!</formula>
    </cfRule>
    <cfRule type="expression" dxfId="1040" priority="234">
      <formula>F64&gt;#REF!</formula>
    </cfRule>
  </conditionalFormatting>
  <conditionalFormatting sqref="Q64:S64 G64">
    <cfRule type="expression" dxfId="1039" priority="235">
      <formula>G64&lt;#REF!</formula>
    </cfRule>
    <cfRule type="expression" dxfId="1038" priority="236">
      <formula>G64&gt;#REF!</formula>
    </cfRule>
  </conditionalFormatting>
  <conditionalFormatting sqref="D64">
    <cfRule type="expression" dxfId="1037" priority="237">
      <formula>D64&lt;#REF!</formula>
    </cfRule>
    <cfRule type="expression" dxfId="1036" priority="238">
      <formula>D64&gt;$C$19</formula>
    </cfRule>
  </conditionalFormatting>
  <conditionalFormatting sqref="E64">
    <cfRule type="expression" dxfId="1035" priority="239" stopIfTrue="1">
      <formula>E64&lt;#REF!</formula>
    </cfRule>
    <cfRule type="expression" dxfId="1034" priority="240" stopIfTrue="1">
      <formula>E64&gt;$C$19</formula>
    </cfRule>
  </conditionalFormatting>
  <conditionalFormatting sqref="C64:S64">
    <cfRule type="expression" dxfId="1033" priority="245">
      <formula>C64&lt;#REF!</formula>
    </cfRule>
    <cfRule type="expression" dxfId="1032" priority="246">
      <formula>C64&gt;#REF!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F4ACA-773A-4CDF-920D-4EF6D750CCCF}">
  <sheetPr codeName="Sheet35"/>
  <dimension ref="A1"/>
  <sheetViews>
    <sheetView workbookViewId="0"/>
  </sheetViews>
  <sheetFormatPr defaultRowHeight="14.5" x14ac:dyDescent="0.35"/>
  <sheetData/>
  <sheetProtection algorithmName="SHA-512" hashValue="cOzgKZ79b4WRAE4bv5oQ6IUaiWDMXT2rbYv1pt8FrtWWXPgsQEEYERbElLa300a7FS4PwhcXgnTHIniOMAKAXg==" saltValue="Po2XQ2jPxfX8xjGEUt0aFg==" spinCount="100000" sheet="1" objects="1" scenarios="1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/>
  <dimension ref="A1:V64"/>
  <sheetViews>
    <sheetView topLeftCell="J1" workbookViewId="0">
      <selection activeCell="Q11" sqref="Q11"/>
    </sheetView>
  </sheetViews>
  <sheetFormatPr defaultColWidth="8.81640625" defaultRowHeight="14.5" x14ac:dyDescent="0.35"/>
  <cols>
    <col min="1" max="1" width="16.81640625" customWidth="1"/>
    <col min="2" max="2" width="6.1796875" customWidth="1"/>
    <col min="3" max="3" width="21.54296875" bestFit="1" customWidth="1"/>
    <col min="4" max="4" width="18.1796875" customWidth="1"/>
    <col min="5" max="5" width="2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0" width="18.54296875" customWidth="1"/>
    <col min="11" max="11" width="18.81640625" customWidth="1"/>
    <col min="12" max="12" width="17.81640625" customWidth="1"/>
    <col min="13" max="13" width="17.1796875" bestFit="1" customWidth="1"/>
    <col min="14" max="16" width="17.1796875" customWidth="1"/>
    <col min="17" max="17" width="15" bestFit="1" customWidth="1"/>
    <col min="18" max="18" width="17.1796875" bestFit="1" customWidth="1"/>
    <col min="19" max="19" width="16.81640625" customWidth="1"/>
    <col min="20" max="20" width="17.1796875" bestFit="1" customWidth="1"/>
    <col min="21" max="21" width="17.1796875" customWidth="1"/>
    <col min="22" max="22" width="17.1796875" bestFit="1" customWidth="1"/>
  </cols>
  <sheetData>
    <row r="1" spans="1:22" ht="15" thickBot="1" x14ac:dyDescent="0.4"/>
    <row r="2" spans="1:22" x14ac:dyDescent="0.35">
      <c r="E2" s="130" t="s">
        <v>195</v>
      </c>
      <c r="F2" s="131"/>
      <c r="G2" s="131" t="s">
        <v>104</v>
      </c>
      <c r="H2" s="131"/>
      <c r="I2" s="132"/>
    </row>
    <row r="3" spans="1:22" x14ac:dyDescent="0.35">
      <c r="E3" s="133"/>
      <c r="F3" s="134" t="s">
        <v>336</v>
      </c>
      <c r="G3" s="135"/>
      <c r="H3" s="134"/>
      <c r="I3" s="136"/>
    </row>
    <row r="4" spans="1:22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22" ht="30.65" customHeight="1" x14ac:dyDescent="0.35">
      <c r="A5" s="141" t="s">
        <v>337</v>
      </c>
      <c r="B5" t="s">
        <v>338</v>
      </c>
    </row>
    <row r="6" spans="1:22" ht="28.4" customHeight="1" x14ac:dyDescent="0.35">
      <c r="A6" s="142" t="s">
        <v>200</v>
      </c>
      <c r="B6" s="169"/>
      <c r="C6" s="142" t="s">
        <v>339</v>
      </c>
      <c r="D6" s="142" t="s">
        <v>340</v>
      </c>
      <c r="E6" s="142" t="s">
        <v>341</v>
      </c>
      <c r="F6" s="142" t="s">
        <v>342</v>
      </c>
      <c r="G6" s="143" t="s">
        <v>343</v>
      </c>
      <c r="H6" s="143" t="s">
        <v>344</v>
      </c>
      <c r="I6" s="143" t="s">
        <v>345</v>
      </c>
      <c r="J6" s="142" t="s">
        <v>346</v>
      </c>
      <c r="K6" s="142" t="s">
        <v>347</v>
      </c>
      <c r="L6" s="142" t="s">
        <v>348</v>
      </c>
      <c r="M6" s="142" t="s">
        <v>349</v>
      </c>
      <c r="N6" s="142" t="s">
        <v>350</v>
      </c>
      <c r="O6" s="142" t="s">
        <v>351</v>
      </c>
      <c r="P6" s="142" t="s">
        <v>352</v>
      </c>
      <c r="Q6" s="142" t="s">
        <v>353</v>
      </c>
      <c r="R6" s="142" t="s">
        <v>354</v>
      </c>
      <c r="S6" s="142" t="s">
        <v>355</v>
      </c>
      <c r="T6" s="142" t="s">
        <v>356</v>
      </c>
      <c r="U6" s="142" t="s">
        <v>357</v>
      </c>
      <c r="V6" s="144" t="s">
        <v>358</v>
      </c>
    </row>
    <row r="7" spans="1:22" x14ac:dyDescent="0.35">
      <c r="A7" s="252" t="s">
        <v>137</v>
      </c>
      <c r="B7" s="252"/>
      <c r="C7" s="145" t="s">
        <v>140</v>
      </c>
      <c r="D7" s="145" t="s">
        <v>141</v>
      </c>
      <c r="E7" s="145" t="s">
        <v>214</v>
      </c>
      <c r="F7" s="145" t="s">
        <v>215</v>
      </c>
      <c r="G7" s="145" t="s">
        <v>142</v>
      </c>
      <c r="H7" s="145" t="s">
        <v>143</v>
      </c>
      <c r="I7" s="145" t="s">
        <v>144</v>
      </c>
      <c r="J7" s="145" t="s">
        <v>145</v>
      </c>
      <c r="K7" s="145" t="s">
        <v>146</v>
      </c>
      <c r="L7" s="145" t="s">
        <v>147</v>
      </c>
      <c r="M7" s="145" t="s">
        <v>148</v>
      </c>
      <c r="N7" s="145" t="s">
        <v>149</v>
      </c>
      <c r="O7" s="145" t="s">
        <v>150</v>
      </c>
      <c r="P7" s="145" t="s">
        <v>151</v>
      </c>
      <c r="Q7" s="145" t="s">
        <v>152</v>
      </c>
      <c r="R7" s="145" t="s">
        <v>153</v>
      </c>
      <c r="S7" s="145" t="s">
        <v>217</v>
      </c>
      <c r="T7" s="145" t="s">
        <v>218</v>
      </c>
      <c r="U7" s="145" t="s">
        <v>156</v>
      </c>
      <c r="V7" s="145" t="s">
        <v>359</v>
      </c>
    </row>
    <row r="8" spans="1:22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2</v>
      </c>
      <c r="K8" s="147">
        <v>1</v>
      </c>
      <c r="L8" s="147">
        <v>2</v>
      </c>
      <c r="M8" s="147">
        <v>1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4</v>
      </c>
      <c r="U8" s="147">
        <v>1</v>
      </c>
      <c r="V8" s="147">
        <v>1</v>
      </c>
    </row>
    <row r="9" spans="1:22" x14ac:dyDescent="0.35">
      <c r="A9" s="150" t="s">
        <v>159</v>
      </c>
      <c r="B9" s="151"/>
      <c r="C9" s="173" t="s">
        <v>225</v>
      </c>
      <c r="D9" s="152"/>
      <c r="E9" s="152"/>
      <c r="F9" s="152"/>
      <c r="G9" s="152"/>
      <c r="H9" s="152"/>
      <c r="I9" s="173" t="s">
        <v>225</v>
      </c>
      <c r="J9" s="152"/>
      <c r="K9" s="154"/>
      <c r="L9" s="152"/>
      <c r="M9" s="152"/>
      <c r="N9" s="152"/>
      <c r="O9" s="173" t="s">
        <v>225</v>
      </c>
      <c r="P9" s="173" t="s">
        <v>225</v>
      </c>
      <c r="Q9" s="152"/>
      <c r="R9" s="152"/>
      <c r="S9" s="152"/>
      <c r="T9" s="152"/>
      <c r="U9" s="152"/>
      <c r="V9" s="173" t="s">
        <v>225</v>
      </c>
    </row>
    <row r="10" spans="1:22" x14ac:dyDescent="0.35">
      <c r="A10" s="155" t="s">
        <v>161</v>
      </c>
      <c r="B10" s="156" t="s">
        <v>162</v>
      </c>
      <c r="C10" s="172">
        <v>0</v>
      </c>
      <c r="D10" s="157"/>
      <c r="E10" s="157"/>
      <c r="F10" s="157"/>
      <c r="G10" s="157"/>
      <c r="H10" s="157"/>
      <c r="I10" s="172">
        <v>0</v>
      </c>
      <c r="J10" s="157"/>
      <c r="K10" s="157"/>
      <c r="L10" s="157"/>
      <c r="M10" s="157"/>
      <c r="N10" s="157"/>
      <c r="O10" s="172">
        <v>0</v>
      </c>
      <c r="P10" s="172">
        <v>0</v>
      </c>
      <c r="Q10" s="157"/>
      <c r="R10" s="157"/>
      <c r="S10" s="157"/>
      <c r="T10" s="157"/>
      <c r="U10" s="157"/>
      <c r="V10" s="172">
        <v>0</v>
      </c>
    </row>
    <row r="11" spans="1:22" x14ac:dyDescent="0.35">
      <c r="A11" s="155" t="s">
        <v>161</v>
      </c>
      <c r="B11" s="156" t="s">
        <v>163</v>
      </c>
      <c r="C11" s="172">
        <v>9410</v>
      </c>
      <c r="D11" s="157"/>
      <c r="E11" s="157">
        <v>13196</v>
      </c>
      <c r="F11" s="157"/>
      <c r="G11" s="157"/>
      <c r="H11" s="157"/>
      <c r="I11" s="172">
        <v>7487</v>
      </c>
      <c r="J11" s="157"/>
      <c r="K11" s="157"/>
      <c r="L11" s="157"/>
      <c r="M11" s="157"/>
      <c r="N11" s="157">
        <v>13196</v>
      </c>
      <c r="O11" s="172">
        <v>7487</v>
      </c>
      <c r="P11" s="172">
        <v>7487</v>
      </c>
      <c r="Q11" s="157"/>
      <c r="R11" s="157"/>
      <c r="S11" s="157"/>
      <c r="T11" s="157"/>
      <c r="U11" s="157">
        <v>13427</v>
      </c>
      <c r="V11" s="172">
        <v>7487</v>
      </c>
    </row>
    <row r="12" spans="1:22" x14ac:dyDescent="0.35">
      <c r="A12" s="155" t="s">
        <v>164</v>
      </c>
      <c r="B12" s="156"/>
      <c r="C12" s="176">
        <v>43398</v>
      </c>
      <c r="D12" s="157"/>
      <c r="E12" s="157" t="s">
        <v>360</v>
      </c>
      <c r="F12" s="157"/>
      <c r="G12" s="157"/>
      <c r="H12" s="157"/>
      <c r="I12" s="176">
        <v>43267</v>
      </c>
      <c r="J12" s="176"/>
      <c r="K12" s="176"/>
      <c r="L12" s="176"/>
      <c r="M12" s="176"/>
      <c r="N12" s="176" t="s">
        <v>360</v>
      </c>
      <c r="O12" s="176">
        <v>43267</v>
      </c>
      <c r="P12" s="176">
        <v>43267</v>
      </c>
      <c r="Q12" s="157"/>
      <c r="R12" s="157"/>
      <c r="S12" s="157"/>
      <c r="T12" s="157"/>
      <c r="U12" s="157" t="s">
        <v>271</v>
      </c>
      <c r="V12" s="176">
        <v>43267</v>
      </c>
    </row>
    <row r="13" spans="1:22" ht="29" x14ac:dyDescent="0.35">
      <c r="A13" s="160" t="s">
        <v>165</v>
      </c>
      <c r="B13" s="161"/>
      <c r="C13" s="162" t="s">
        <v>166</v>
      </c>
      <c r="D13" s="157"/>
      <c r="E13" s="157" t="s">
        <v>267</v>
      </c>
      <c r="F13" s="157"/>
      <c r="G13" s="157"/>
      <c r="H13" s="157"/>
      <c r="I13" s="162" t="s">
        <v>166</v>
      </c>
      <c r="J13" s="157"/>
      <c r="K13" s="157"/>
      <c r="L13" s="157"/>
      <c r="M13" s="157"/>
      <c r="N13" s="157" t="s">
        <v>267</v>
      </c>
      <c r="O13" s="162" t="s">
        <v>166</v>
      </c>
      <c r="P13" s="162" t="s">
        <v>166</v>
      </c>
      <c r="Q13" s="157"/>
      <c r="R13" s="157"/>
      <c r="S13" s="157"/>
      <c r="T13" s="157"/>
      <c r="U13" s="157"/>
      <c r="V13" s="162" t="s">
        <v>166</v>
      </c>
    </row>
    <row r="14" spans="1:22" x14ac:dyDescent="0.35">
      <c r="A14" s="225" t="s">
        <v>167</v>
      </c>
      <c r="B14" s="225"/>
      <c r="C14" s="225">
        <f>IFERROR(C11-C10,"")</f>
        <v>9410</v>
      </c>
      <c r="D14" s="225">
        <f t="shared" ref="D14:P14" si="0">IFERROR(D11-D10,"")</f>
        <v>0</v>
      </c>
      <c r="E14" s="225">
        <f t="shared" si="0"/>
        <v>13196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7487</v>
      </c>
      <c r="J14" s="225">
        <f t="shared" si="0"/>
        <v>0</v>
      </c>
      <c r="K14" s="225">
        <f t="shared" si="0"/>
        <v>0</v>
      </c>
      <c r="L14" s="225">
        <f t="shared" si="0"/>
        <v>0</v>
      </c>
      <c r="M14" s="225">
        <f t="shared" si="0"/>
        <v>0</v>
      </c>
      <c r="N14" s="225">
        <f t="shared" si="0"/>
        <v>13196</v>
      </c>
      <c r="O14" s="225">
        <f t="shared" si="0"/>
        <v>7487</v>
      </c>
      <c r="P14" s="225">
        <f t="shared" si="0"/>
        <v>7487</v>
      </c>
      <c r="Q14" s="225">
        <f t="shared" ref="Q14:V14" si="1">IFERROR(Q11-Q10,"")</f>
        <v>0</v>
      </c>
      <c r="R14" s="225">
        <f t="shared" si="1"/>
        <v>0</v>
      </c>
      <c r="S14" s="225">
        <f t="shared" si="1"/>
        <v>0</v>
      </c>
      <c r="T14" s="225">
        <f t="shared" si="1"/>
        <v>0</v>
      </c>
      <c r="U14" s="225">
        <f t="shared" si="1"/>
        <v>13427</v>
      </c>
      <c r="V14" s="225">
        <f t="shared" si="1"/>
        <v>7487</v>
      </c>
    </row>
    <row r="15" spans="1:22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</row>
    <row r="16" spans="1:22" x14ac:dyDescent="0.35">
      <c r="A16" s="150" t="s">
        <v>159</v>
      </c>
      <c r="B16" s="151"/>
      <c r="C16" s="211">
        <v>43398</v>
      </c>
      <c r="D16" s="154"/>
      <c r="E16" s="154"/>
      <c r="F16" s="154"/>
      <c r="G16" s="154"/>
      <c r="H16" s="154"/>
      <c r="I16" s="154"/>
      <c r="J16" s="152"/>
      <c r="K16" s="154"/>
      <c r="L16" s="154"/>
      <c r="M16" s="154"/>
      <c r="N16" s="154" t="s">
        <v>360</v>
      </c>
      <c r="O16" s="152">
        <v>43267</v>
      </c>
      <c r="P16" s="152">
        <v>43267</v>
      </c>
      <c r="Q16" s="154"/>
      <c r="R16" s="154"/>
      <c r="S16" s="152"/>
      <c r="T16" s="152"/>
      <c r="U16" s="152"/>
      <c r="V16" s="152">
        <v>43267</v>
      </c>
    </row>
    <row r="17" spans="1:22" x14ac:dyDescent="0.35">
      <c r="A17" s="155" t="s">
        <v>161</v>
      </c>
      <c r="B17" s="156" t="s">
        <v>162</v>
      </c>
      <c r="C17" s="165">
        <v>9410</v>
      </c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>
        <v>13196</v>
      </c>
      <c r="O17" s="157">
        <v>7487</v>
      </c>
      <c r="P17" s="157">
        <v>7487</v>
      </c>
      <c r="Q17" s="157"/>
      <c r="R17" s="157"/>
      <c r="S17" s="157"/>
      <c r="T17" s="157"/>
      <c r="U17" s="157"/>
      <c r="V17" s="157">
        <v>7487</v>
      </c>
    </row>
    <row r="18" spans="1:22" x14ac:dyDescent="0.35">
      <c r="A18" s="155" t="s">
        <v>161</v>
      </c>
      <c r="B18" s="156" t="s">
        <v>163</v>
      </c>
      <c r="C18" s="165">
        <v>13427</v>
      </c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>
        <v>13427</v>
      </c>
      <c r="O18" s="157">
        <v>13196</v>
      </c>
      <c r="P18" s="157">
        <v>13196</v>
      </c>
      <c r="Q18" s="157"/>
      <c r="R18" s="157"/>
      <c r="S18" s="157"/>
      <c r="T18" s="157"/>
      <c r="U18" s="157"/>
      <c r="V18" s="157">
        <v>13427</v>
      </c>
    </row>
    <row r="19" spans="1:22" x14ac:dyDescent="0.35">
      <c r="A19" s="155" t="s">
        <v>164</v>
      </c>
      <c r="B19" s="156"/>
      <c r="C19" s="165" t="s">
        <v>271</v>
      </c>
      <c r="D19" s="157"/>
      <c r="E19" s="157"/>
      <c r="F19" s="157"/>
      <c r="G19" s="157"/>
      <c r="H19" s="157"/>
      <c r="I19" s="157"/>
      <c r="J19" s="166"/>
      <c r="K19" s="157"/>
      <c r="L19" s="157"/>
      <c r="M19" s="157"/>
      <c r="N19" s="157" t="s">
        <v>271</v>
      </c>
      <c r="O19" s="157" t="s">
        <v>360</v>
      </c>
      <c r="P19" s="157" t="s">
        <v>360</v>
      </c>
      <c r="Q19" s="157"/>
      <c r="R19" s="157"/>
      <c r="S19" s="157"/>
      <c r="T19" s="157"/>
      <c r="U19" s="157"/>
      <c r="V19" s="157" t="s">
        <v>271</v>
      </c>
    </row>
    <row r="20" spans="1:22" x14ac:dyDescent="0.35">
      <c r="A20" s="160" t="s">
        <v>165</v>
      </c>
      <c r="B20" s="167"/>
      <c r="C20" s="165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 t="s">
        <v>267</v>
      </c>
      <c r="P20" s="157" t="s">
        <v>267</v>
      </c>
      <c r="Q20" s="157"/>
      <c r="R20" s="157"/>
      <c r="S20" s="157"/>
      <c r="T20" s="157"/>
      <c r="U20" s="157"/>
      <c r="V20" s="157"/>
    </row>
    <row r="21" spans="1:22" x14ac:dyDescent="0.35">
      <c r="A21" s="225" t="s">
        <v>167</v>
      </c>
      <c r="B21" s="225"/>
      <c r="C21" s="225">
        <f>IFERROR(C18-C17,"")</f>
        <v>4017</v>
      </c>
      <c r="D21" s="225">
        <f t="shared" ref="D21:P21" si="2">IFERROR(D18-D17,"")</f>
        <v>0</v>
      </c>
      <c r="E21" s="225">
        <f t="shared" si="2"/>
        <v>0</v>
      </c>
      <c r="F21" s="225">
        <f t="shared" si="2"/>
        <v>0</v>
      </c>
      <c r="G21" s="225">
        <f t="shared" si="2"/>
        <v>0</v>
      </c>
      <c r="H21" s="225">
        <f t="shared" si="2"/>
        <v>0</v>
      </c>
      <c r="I21" s="225">
        <f t="shared" si="2"/>
        <v>0</v>
      </c>
      <c r="J21" s="225">
        <f t="shared" si="2"/>
        <v>0</v>
      </c>
      <c r="K21" s="225">
        <f t="shared" si="2"/>
        <v>0</v>
      </c>
      <c r="L21" s="225">
        <f t="shared" si="2"/>
        <v>0</v>
      </c>
      <c r="M21" s="225">
        <f t="shared" si="2"/>
        <v>0</v>
      </c>
      <c r="N21" s="225">
        <f t="shared" si="2"/>
        <v>231</v>
      </c>
      <c r="O21" s="225">
        <f t="shared" si="2"/>
        <v>5709</v>
      </c>
      <c r="P21" s="225">
        <f t="shared" si="2"/>
        <v>5709</v>
      </c>
      <c r="Q21" s="225">
        <f t="shared" ref="Q21:V21" si="3">IFERROR(Q18-Q17,"")</f>
        <v>0</v>
      </c>
      <c r="R21" s="225">
        <f t="shared" si="3"/>
        <v>0</v>
      </c>
      <c r="S21" s="225">
        <f t="shared" si="3"/>
        <v>0</v>
      </c>
      <c r="T21" s="225">
        <f t="shared" si="3"/>
        <v>0</v>
      </c>
      <c r="U21" s="225">
        <f t="shared" si="3"/>
        <v>0</v>
      </c>
      <c r="V21" s="225">
        <f t="shared" si="3"/>
        <v>5940</v>
      </c>
    </row>
    <row r="22" spans="1:22" ht="16.399999999999999" customHeight="1" x14ac:dyDescent="0.35">
      <c r="A22" s="65" t="s">
        <v>2</v>
      </c>
      <c r="B22" s="65"/>
      <c r="C22" s="65">
        <f>AVERAGE(C14,C21)</f>
        <v>6713.5</v>
      </c>
      <c r="D22" s="65">
        <f t="shared" ref="D22:V22" si="4">AVERAGE(D14,D21)</f>
        <v>0</v>
      </c>
      <c r="E22" s="65">
        <f t="shared" si="4"/>
        <v>6598</v>
      </c>
      <c r="F22" s="65">
        <f t="shared" si="4"/>
        <v>0</v>
      </c>
      <c r="G22" s="65">
        <f t="shared" si="4"/>
        <v>0</v>
      </c>
      <c r="H22" s="65">
        <f t="shared" si="4"/>
        <v>0</v>
      </c>
      <c r="I22" s="65">
        <f t="shared" si="4"/>
        <v>3743.5</v>
      </c>
      <c r="J22" s="65">
        <f t="shared" si="4"/>
        <v>0</v>
      </c>
      <c r="K22" s="65">
        <f t="shared" si="4"/>
        <v>0</v>
      </c>
      <c r="L22" s="65">
        <f t="shared" si="4"/>
        <v>0</v>
      </c>
      <c r="M22" s="65">
        <f t="shared" si="4"/>
        <v>0</v>
      </c>
      <c r="N22" s="65">
        <f t="shared" si="4"/>
        <v>6713.5</v>
      </c>
      <c r="O22" s="65">
        <f t="shared" si="4"/>
        <v>6598</v>
      </c>
      <c r="P22" s="65">
        <f t="shared" si="4"/>
        <v>6598</v>
      </c>
      <c r="Q22" s="65">
        <f t="shared" si="4"/>
        <v>0</v>
      </c>
      <c r="R22" s="65">
        <f t="shared" si="4"/>
        <v>0</v>
      </c>
      <c r="S22" s="65">
        <f t="shared" si="4"/>
        <v>0</v>
      </c>
      <c r="T22" s="65">
        <f t="shared" si="4"/>
        <v>0</v>
      </c>
      <c r="U22" s="65">
        <f t="shared" si="4"/>
        <v>6713.5</v>
      </c>
      <c r="V22" s="65">
        <f t="shared" si="4"/>
        <v>6713.5</v>
      </c>
    </row>
    <row r="23" spans="1:22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4"/>
      <c r="O23" s="154" t="s">
        <v>360</v>
      </c>
      <c r="P23" s="154" t="s">
        <v>360</v>
      </c>
      <c r="Q23" s="154"/>
      <c r="R23" s="154"/>
      <c r="S23" s="152"/>
      <c r="T23" s="152"/>
      <c r="U23" s="152"/>
      <c r="V23" s="154"/>
    </row>
    <row r="24" spans="1:22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>
        <v>13196</v>
      </c>
      <c r="P24" s="157">
        <v>13196</v>
      </c>
      <c r="Q24" s="157"/>
      <c r="R24" s="157"/>
      <c r="S24" s="157"/>
      <c r="T24" s="157"/>
      <c r="U24" s="157"/>
      <c r="V24" s="157"/>
    </row>
    <row r="25" spans="1:22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>
        <v>13427</v>
      </c>
      <c r="P25" s="157">
        <v>13427</v>
      </c>
      <c r="Q25" s="157"/>
      <c r="R25" s="157"/>
      <c r="S25" s="157"/>
      <c r="T25" s="157"/>
      <c r="U25" s="157"/>
      <c r="V25" s="157"/>
    </row>
    <row r="26" spans="1:22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/>
      <c r="O26" s="157" t="s">
        <v>271</v>
      </c>
      <c r="P26" s="157" t="s">
        <v>271</v>
      </c>
      <c r="Q26" s="157"/>
      <c r="R26" s="157"/>
      <c r="S26" s="157"/>
      <c r="T26" s="157"/>
      <c r="U26" s="157"/>
      <c r="V26" s="157"/>
    </row>
    <row r="27" spans="1:22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7"/>
    </row>
    <row r="28" spans="1:22" x14ac:dyDescent="0.35">
      <c r="A28" s="225" t="s">
        <v>167</v>
      </c>
      <c r="B28" s="225"/>
      <c r="C28" s="225">
        <f>IFERROR(C25-C24,"")</f>
        <v>0</v>
      </c>
      <c r="D28" s="225">
        <f t="shared" ref="D28:P28" si="5">IFERROR(D25-D24,"")</f>
        <v>0</v>
      </c>
      <c r="E28" s="225">
        <f t="shared" si="5"/>
        <v>0</v>
      </c>
      <c r="F28" s="225">
        <f t="shared" si="5"/>
        <v>0</v>
      </c>
      <c r="G28" s="225">
        <f t="shared" si="5"/>
        <v>0</v>
      </c>
      <c r="H28" s="225">
        <f t="shared" si="5"/>
        <v>0</v>
      </c>
      <c r="I28" s="225">
        <f t="shared" si="5"/>
        <v>0</v>
      </c>
      <c r="J28" s="225">
        <f t="shared" si="5"/>
        <v>0</v>
      </c>
      <c r="K28" s="225">
        <f t="shared" si="5"/>
        <v>0</v>
      </c>
      <c r="L28" s="225">
        <f t="shared" si="5"/>
        <v>0</v>
      </c>
      <c r="M28" s="225">
        <f t="shared" si="5"/>
        <v>0</v>
      </c>
      <c r="N28" s="225">
        <f t="shared" si="5"/>
        <v>0</v>
      </c>
      <c r="O28" s="225">
        <f t="shared" si="5"/>
        <v>231</v>
      </c>
      <c r="P28" s="225">
        <f t="shared" si="5"/>
        <v>231</v>
      </c>
      <c r="Q28" s="225">
        <f t="shared" ref="Q28:V28" si="6">IFERROR(Q25-Q24,"")</f>
        <v>0</v>
      </c>
      <c r="R28" s="225">
        <f t="shared" si="6"/>
        <v>0</v>
      </c>
      <c r="S28" s="225">
        <f t="shared" si="6"/>
        <v>0</v>
      </c>
      <c r="T28" s="225">
        <f t="shared" si="6"/>
        <v>0</v>
      </c>
      <c r="U28" s="225">
        <f t="shared" si="6"/>
        <v>0</v>
      </c>
      <c r="V28" s="225">
        <f t="shared" si="6"/>
        <v>0</v>
      </c>
    </row>
    <row r="29" spans="1:22" ht="16.399999999999999" customHeight="1" x14ac:dyDescent="0.35">
      <c r="A29" s="65" t="s">
        <v>2</v>
      </c>
      <c r="B29" s="65"/>
      <c r="C29" s="65">
        <f>AVERAGE(C21,C28,C14)</f>
        <v>4475.666666666667</v>
      </c>
      <c r="D29" s="65">
        <f t="shared" ref="D29:V29" si="7">AVERAGE(D21,D28,D14)</f>
        <v>0</v>
      </c>
      <c r="E29" s="65">
        <f t="shared" si="7"/>
        <v>4398.666666666667</v>
      </c>
      <c r="F29" s="65">
        <f t="shared" si="7"/>
        <v>0</v>
      </c>
      <c r="G29" s="65">
        <f t="shared" si="7"/>
        <v>0</v>
      </c>
      <c r="H29" s="65">
        <f t="shared" si="7"/>
        <v>0</v>
      </c>
      <c r="I29" s="65">
        <f t="shared" si="7"/>
        <v>2495.6666666666665</v>
      </c>
      <c r="J29" s="65">
        <f t="shared" si="7"/>
        <v>0</v>
      </c>
      <c r="K29" s="65">
        <f t="shared" si="7"/>
        <v>0</v>
      </c>
      <c r="L29" s="65">
        <f t="shared" si="7"/>
        <v>0</v>
      </c>
      <c r="M29" s="65">
        <f t="shared" si="7"/>
        <v>0</v>
      </c>
      <c r="N29" s="65">
        <f t="shared" si="7"/>
        <v>4475.666666666667</v>
      </c>
      <c r="O29" s="65">
        <f t="shared" si="7"/>
        <v>4475.666666666667</v>
      </c>
      <c r="P29" s="65">
        <f t="shared" si="7"/>
        <v>4475.666666666667</v>
      </c>
      <c r="Q29" s="65">
        <f t="shared" si="7"/>
        <v>0</v>
      </c>
      <c r="R29" s="65">
        <f t="shared" si="7"/>
        <v>0</v>
      </c>
      <c r="S29" s="65">
        <f t="shared" si="7"/>
        <v>0</v>
      </c>
      <c r="T29" s="65">
        <f t="shared" si="7"/>
        <v>0</v>
      </c>
      <c r="U29" s="65">
        <f t="shared" si="7"/>
        <v>4475.666666666667</v>
      </c>
      <c r="V29" s="65">
        <f t="shared" si="7"/>
        <v>4475.666666666667</v>
      </c>
    </row>
    <row r="30" spans="1:22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4"/>
      <c r="O30" s="154"/>
      <c r="P30" s="154"/>
      <c r="Q30" s="154"/>
      <c r="R30" s="154"/>
      <c r="S30" s="152"/>
      <c r="T30" s="152"/>
      <c r="U30" s="152"/>
      <c r="V30" s="154"/>
    </row>
    <row r="31" spans="1:22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</row>
    <row r="32" spans="1:22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</row>
    <row r="33" spans="1:22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</row>
    <row r="34" spans="1:22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</row>
    <row r="35" spans="1:22" x14ac:dyDescent="0.35">
      <c r="A35" s="225" t="s">
        <v>167</v>
      </c>
      <c r="B35" s="225"/>
      <c r="C35" s="225">
        <f>IFERROR(C32-C31,"")</f>
        <v>0</v>
      </c>
      <c r="D35" s="225">
        <f t="shared" ref="D35:P35" si="8">IFERROR(D32-D31,"")</f>
        <v>0</v>
      </c>
      <c r="E35" s="225">
        <f t="shared" si="8"/>
        <v>0</v>
      </c>
      <c r="F35" s="225">
        <f t="shared" si="8"/>
        <v>0</v>
      </c>
      <c r="G35" s="225">
        <f t="shared" si="8"/>
        <v>0</v>
      </c>
      <c r="H35" s="225">
        <f t="shared" si="8"/>
        <v>0</v>
      </c>
      <c r="I35" s="225">
        <f t="shared" si="8"/>
        <v>0</v>
      </c>
      <c r="J35" s="225">
        <f t="shared" si="8"/>
        <v>0</v>
      </c>
      <c r="K35" s="225">
        <f t="shared" si="8"/>
        <v>0</v>
      </c>
      <c r="L35" s="225">
        <f t="shared" si="8"/>
        <v>0</v>
      </c>
      <c r="M35" s="225">
        <f t="shared" si="8"/>
        <v>0</v>
      </c>
      <c r="N35" s="225">
        <f t="shared" si="8"/>
        <v>0</v>
      </c>
      <c r="O35" s="225">
        <f t="shared" si="8"/>
        <v>0</v>
      </c>
      <c r="P35" s="225">
        <f t="shared" si="8"/>
        <v>0</v>
      </c>
      <c r="Q35" s="225">
        <f t="shared" ref="Q35:V35" si="9">IFERROR(Q32-Q31,"")</f>
        <v>0</v>
      </c>
      <c r="R35" s="225">
        <f t="shared" si="9"/>
        <v>0</v>
      </c>
      <c r="S35" s="225">
        <f t="shared" si="9"/>
        <v>0</v>
      </c>
      <c r="T35" s="225">
        <f t="shared" si="9"/>
        <v>0</v>
      </c>
      <c r="U35" s="225">
        <f t="shared" si="9"/>
        <v>0</v>
      </c>
      <c r="V35" s="225">
        <f t="shared" si="9"/>
        <v>0</v>
      </c>
    </row>
    <row r="36" spans="1:22" ht="16.399999999999999" customHeight="1" x14ac:dyDescent="0.35">
      <c r="A36" s="65" t="s">
        <v>2</v>
      </c>
      <c r="B36" s="65"/>
      <c r="C36" s="65">
        <f>AVERAGE(C28,C35,C21,C14)</f>
        <v>3356.75</v>
      </c>
      <c r="D36" s="65">
        <f t="shared" ref="D36:V36" si="10">AVERAGE(D28,D35,D21,D14)</f>
        <v>0</v>
      </c>
      <c r="E36" s="65">
        <f t="shared" si="10"/>
        <v>3299</v>
      </c>
      <c r="F36" s="65">
        <f t="shared" si="10"/>
        <v>0</v>
      </c>
      <c r="G36" s="65">
        <f t="shared" si="10"/>
        <v>0</v>
      </c>
      <c r="H36" s="65">
        <f t="shared" si="10"/>
        <v>0</v>
      </c>
      <c r="I36" s="65">
        <f t="shared" si="10"/>
        <v>1871.75</v>
      </c>
      <c r="J36" s="65">
        <f t="shared" si="10"/>
        <v>0</v>
      </c>
      <c r="K36" s="65">
        <f t="shared" si="10"/>
        <v>0</v>
      </c>
      <c r="L36" s="65">
        <f t="shared" si="10"/>
        <v>0</v>
      </c>
      <c r="M36" s="65">
        <f t="shared" si="10"/>
        <v>0</v>
      </c>
      <c r="N36" s="65">
        <f t="shared" si="10"/>
        <v>3356.75</v>
      </c>
      <c r="O36" s="65">
        <f t="shared" si="10"/>
        <v>3356.75</v>
      </c>
      <c r="P36" s="65">
        <f t="shared" si="10"/>
        <v>3356.75</v>
      </c>
      <c r="Q36" s="65">
        <f t="shared" si="10"/>
        <v>0</v>
      </c>
      <c r="R36" s="65">
        <f t="shared" si="10"/>
        <v>0</v>
      </c>
      <c r="S36" s="65">
        <f t="shared" si="10"/>
        <v>0</v>
      </c>
      <c r="T36" s="65">
        <f t="shared" si="10"/>
        <v>0</v>
      </c>
      <c r="U36" s="65">
        <f t="shared" si="10"/>
        <v>3356.75</v>
      </c>
      <c r="V36" s="65">
        <f t="shared" si="10"/>
        <v>3356.75</v>
      </c>
    </row>
    <row r="37" spans="1:22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4"/>
      <c r="O37" s="154"/>
      <c r="P37" s="154"/>
      <c r="Q37" s="154"/>
      <c r="R37" s="154"/>
      <c r="S37" s="152"/>
      <c r="T37" s="152"/>
      <c r="U37" s="152"/>
      <c r="V37" s="154"/>
    </row>
    <row r="38" spans="1:22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</row>
    <row r="39" spans="1:22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</row>
    <row r="40" spans="1:22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</row>
    <row r="41" spans="1:22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</row>
    <row r="42" spans="1:22" x14ac:dyDescent="0.35">
      <c r="A42" s="225" t="s">
        <v>167</v>
      </c>
      <c r="B42" s="225"/>
      <c r="C42" s="225">
        <f>IFERROR(C39-C38,"")</f>
        <v>0</v>
      </c>
      <c r="D42" s="225">
        <f t="shared" ref="D42:P42" si="11">IFERROR(D39-D38,"")</f>
        <v>0</v>
      </c>
      <c r="E42" s="225">
        <f t="shared" si="11"/>
        <v>0</v>
      </c>
      <c r="F42" s="225">
        <f t="shared" si="11"/>
        <v>0</v>
      </c>
      <c r="G42" s="225">
        <f t="shared" si="11"/>
        <v>0</v>
      </c>
      <c r="H42" s="225">
        <f t="shared" si="11"/>
        <v>0</v>
      </c>
      <c r="I42" s="225">
        <f t="shared" si="11"/>
        <v>0</v>
      </c>
      <c r="J42" s="225">
        <f t="shared" si="11"/>
        <v>0</v>
      </c>
      <c r="K42" s="225">
        <f t="shared" si="11"/>
        <v>0</v>
      </c>
      <c r="L42" s="225">
        <f t="shared" si="11"/>
        <v>0</v>
      </c>
      <c r="M42" s="225">
        <f t="shared" si="11"/>
        <v>0</v>
      </c>
      <c r="N42" s="225">
        <f t="shared" si="11"/>
        <v>0</v>
      </c>
      <c r="O42" s="225">
        <f t="shared" si="11"/>
        <v>0</v>
      </c>
      <c r="P42" s="225">
        <f t="shared" si="11"/>
        <v>0</v>
      </c>
      <c r="Q42" s="225">
        <f t="shared" ref="Q42:V42" si="12">IFERROR(Q39-Q38,"")</f>
        <v>0</v>
      </c>
      <c r="R42" s="225">
        <f t="shared" si="12"/>
        <v>0</v>
      </c>
      <c r="S42" s="225">
        <f t="shared" si="12"/>
        <v>0</v>
      </c>
      <c r="T42" s="225">
        <f t="shared" si="12"/>
        <v>0</v>
      </c>
      <c r="U42" s="225">
        <f t="shared" si="12"/>
        <v>0</v>
      </c>
      <c r="V42" s="225">
        <f t="shared" si="12"/>
        <v>0</v>
      </c>
    </row>
    <row r="43" spans="1:22" ht="16.399999999999999" customHeight="1" x14ac:dyDescent="0.35">
      <c r="A43" s="65" t="s">
        <v>2</v>
      </c>
      <c r="B43" s="65"/>
      <c r="C43" s="65">
        <f>AVERAGE(C35,C42,C28,C21,C14)</f>
        <v>2685.4</v>
      </c>
      <c r="D43" s="65">
        <f t="shared" ref="D43:V43" si="13">AVERAGE(D35,D42,D28,D21,D14)</f>
        <v>0</v>
      </c>
      <c r="E43" s="65">
        <f t="shared" si="13"/>
        <v>2639.2</v>
      </c>
      <c r="F43" s="65">
        <f t="shared" si="13"/>
        <v>0</v>
      </c>
      <c r="G43" s="65">
        <f t="shared" si="13"/>
        <v>0</v>
      </c>
      <c r="H43" s="65">
        <f t="shared" si="13"/>
        <v>0</v>
      </c>
      <c r="I43" s="65">
        <f t="shared" si="13"/>
        <v>1497.4</v>
      </c>
      <c r="J43" s="65">
        <f t="shared" si="13"/>
        <v>0</v>
      </c>
      <c r="K43" s="65">
        <f t="shared" si="13"/>
        <v>0</v>
      </c>
      <c r="L43" s="65">
        <f t="shared" si="13"/>
        <v>0</v>
      </c>
      <c r="M43" s="65">
        <f t="shared" si="13"/>
        <v>0</v>
      </c>
      <c r="N43" s="65">
        <f t="shared" si="13"/>
        <v>2685.4</v>
      </c>
      <c r="O43" s="65">
        <f t="shared" si="13"/>
        <v>2685.4</v>
      </c>
      <c r="P43" s="65">
        <f t="shared" si="13"/>
        <v>2685.4</v>
      </c>
      <c r="Q43" s="65">
        <f t="shared" si="13"/>
        <v>0</v>
      </c>
      <c r="R43" s="65">
        <f t="shared" si="13"/>
        <v>0</v>
      </c>
      <c r="S43" s="65">
        <f t="shared" si="13"/>
        <v>0</v>
      </c>
      <c r="T43" s="65">
        <f t="shared" si="13"/>
        <v>0</v>
      </c>
      <c r="U43" s="65">
        <f t="shared" si="13"/>
        <v>2685.4</v>
      </c>
      <c r="V43" s="65">
        <f t="shared" si="13"/>
        <v>2685.4</v>
      </c>
    </row>
    <row r="44" spans="1:22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4"/>
      <c r="O44" s="154"/>
      <c r="P44" s="154"/>
      <c r="Q44" s="154"/>
      <c r="R44" s="154"/>
      <c r="S44" s="152"/>
      <c r="T44" s="152"/>
      <c r="U44" s="152"/>
      <c r="V44" s="154"/>
    </row>
    <row r="45" spans="1:22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</row>
    <row r="46" spans="1:22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</row>
    <row r="47" spans="1:22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</row>
    <row r="48" spans="1:22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</row>
    <row r="49" spans="1:22" x14ac:dyDescent="0.35">
      <c r="A49" s="225" t="s">
        <v>167</v>
      </c>
      <c r="B49" s="225"/>
      <c r="C49" s="225">
        <f>IFERROR(C46-C45,"")</f>
        <v>0</v>
      </c>
      <c r="D49" s="225">
        <f t="shared" ref="D49:P49" si="14">IFERROR(D46-D45,"")</f>
        <v>0</v>
      </c>
      <c r="E49" s="225">
        <f t="shared" si="14"/>
        <v>0</v>
      </c>
      <c r="F49" s="225">
        <f t="shared" si="14"/>
        <v>0</v>
      </c>
      <c r="G49" s="225">
        <f t="shared" si="14"/>
        <v>0</v>
      </c>
      <c r="H49" s="225">
        <f t="shared" si="14"/>
        <v>0</v>
      </c>
      <c r="I49" s="225">
        <f t="shared" si="14"/>
        <v>0</v>
      </c>
      <c r="J49" s="225">
        <f t="shared" si="14"/>
        <v>0</v>
      </c>
      <c r="K49" s="225">
        <f t="shared" si="14"/>
        <v>0</v>
      </c>
      <c r="L49" s="225">
        <f t="shared" si="14"/>
        <v>0</v>
      </c>
      <c r="M49" s="225">
        <f t="shared" si="14"/>
        <v>0</v>
      </c>
      <c r="N49" s="225">
        <f t="shared" si="14"/>
        <v>0</v>
      </c>
      <c r="O49" s="225">
        <f t="shared" si="14"/>
        <v>0</v>
      </c>
      <c r="P49" s="225">
        <f t="shared" si="14"/>
        <v>0</v>
      </c>
      <c r="Q49" s="225">
        <f t="shared" ref="Q49:V49" si="15">IFERROR(Q46-Q45,"")</f>
        <v>0</v>
      </c>
      <c r="R49" s="225">
        <f t="shared" si="15"/>
        <v>0</v>
      </c>
      <c r="S49" s="225">
        <f t="shared" si="15"/>
        <v>0</v>
      </c>
      <c r="T49" s="225">
        <f t="shared" si="15"/>
        <v>0</v>
      </c>
      <c r="U49" s="225">
        <f t="shared" si="15"/>
        <v>0</v>
      </c>
      <c r="V49" s="225">
        <f t="shared" si="15"/>
        <v>0</v>
      </c>
    </row>
    <row r="50" spans="1:22" ht="16.399999999999999" customHeight="1" x14ac:dyDescent="0.35">
      <c r="A50" s="65" t="s">
        <v>2</v>
      </c>
      <c r="B50" s="65"/>
      <c r="C50" s="65">
        <f>AVERAGE(C42,C49,C35,C28,C21,C14)</f>
        <v>2237.8333333333335</v>
      </c>
      <c r="D50" s="65">
        <f t="shared" ref="D50:V50" si="16">AVERAGE(D42,D49,D35,D28,D21,D14)</f>
        <v>0</v>
      </c>
      <c r="E50" s="65">
        <f t="shared" si="16"/>
        <v>2199.3333333333335</v>
      </c>
      <c r="F50" s="65">
        <f t="shared" si="16"/>
        <v>0</v>
      </c>
      <c r="G50" s="65">
        <f t="shared" si="16"/>
        <v>0</v>
      </c>
      <c r="H50" s="65">
        <f t="shared" si="16"/>
        <v>0</v>
      </c>
      <c r="I50" s="65">
        <f t="shared" si="16"/>
        <v>1247.8333333333333</v>
      </c>
      <c r="J50" s="65">
        <f t="shared" si="16"/>
        <v>0</v>
      </c>
      <c r="K50" s="65">
        <f t="shared" si="16"/>
        <v>0</v>
      </c>
      <c r="L50" s="65">
        <f t="shared" si="16"/>
        <v>0</v>
      </c>
      <c r="M50" s="65">
        <f t="shared" si="16"/>
        <v>0</v>
      </c>
      <c r="N50" s="65">
        <f t="shared" si="16"/>
        <v>2237.8333333333335</v>
      </c>
      <c r="O50" s="65">
        <f t="shared" si="16"/>
        <v>2237.8333333333335</v>
      </c>
      <c r="P50" s="65">
        <f t="shared" si="16"/>
        <v>2237.8333333333335</v>
      </c>
      <c r="Q50" s="65">
        <f t="shared" si="16"/>
        <v>0</v>
      </c>
      <c r="R50" s="65">
        <f t="shared" si="16"/>
        <v>0</v>
      </c>
      <c r="S50" s="65">
        <f t="shared" si="16"/>
        <v>0</v>
      </c>
      <c r="T50" s="65">
        <f t="shared" si="16"/>
        <v>0</v>
      </c>
      <c r="U50" s="65">
        <f t="shared" si="16"/>
        <v>2237.8333333333335</v>
      </c>
      <c r="V50" s="65">
        <f t="shared" si="16"/>
        <v>2237.8333333333335</v>
      </c>
    </row>
    <row r="51" spans="1:22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4"/>
      <c r="O51" s="154"/>
      <c r="P51" s="154"/>
      <c r="Q51" s="154"/>
      <c r="R51" s="154"/>
      <c r="S51" s="152"/>
      <c r="T51" s="152"/>
      <c r="U51" s="152"/>
      <c r="V51" s="154"/>
    </row>
    <row r="52" spans="1:22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</row>
    <row r="53" spans="1:22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</row>
    <row r="54" spans="1:22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</row>
    <row r="55" spans="1:22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</row>
    <row r="56" spans="1:22" x14ac:dyDescent="0.35">
      <c r="A56" s="225" t="s">
        <v>167</v>
      </c>
      <c r="B56" s="225"/>
      <c r="C56" s="225">
        <f>IFERROR(C53-C52,"")</f>
        <v>0</v>
      </c>
      <c r="D56" s="225">
        <f t="shared" ref="D56:P56" si="17">IFERROR(D53-D52,"")</f>
        <v>0</v>
      </c>
      <c r="E56" s="225">
        <f t="shared" si="17"/>
        <v>0</v>
      </c>
      <c r="F56" s="225">
        <f t="shared" si="17"/>
        <v>0</v>
      </c>
      <c r="G56" s="225">
        <f t="shared" si="17"/>
        <v>0</v>
      </c>
      <c r="H56" s="225">
        <f t="shared" si="17"/>
        <v>0</v>
      </c>
      <c r="I56" s="225">
        <f t="shared" si="17"/>
        <v>0</v>
      </c>
      <c r="J56" s="225">
        <f t="shared" si="17"/>
        <v>0</v>
      </c>
      <c r="K56" s="225">
        <f t="shared" si="17"/>
        <v>0</v>
      </c>
      <c r="L56" s="225">
        <f t="shared" si="17"/>
        <v>0</v>
      </c>
      <c r="M56" s="225">
        <f t="shared" si="17"/>
        <v>0</v>
      </c>
      <c r="N56" s="225">
        <f t="shared" si="17"/>
        <v>0</v>
      </c>
      <c r="O56" s="225">
        <f t="shared" si="17"/>
        <v>0</v>
      </c>
      <c r="P56" s="225">
        <f t="shared" si="17"/>
        <v>0</v>
      </c>
      <c r="Q56" s="225">
        <f t="shared" ref="Q56:V56" si="18">IFERROR(Q53-Q52,"")</f>
        <v>0</v>
      </c>
      <c r="R56" s="225">
        <f t="shared" si="18"/>
        <v>0</v>
      </c>
      <c r="S56" s="225">
        <f t="shared" si="18"/>
        <v>0</v>
      </c>
      <c r="T56" s="225">
        <f t="shared" si="18"/>
        <v>0</v>
      </c>
      <c r="U56" s="225">
        <f t="shared" si="18"/>
        <v>0</v>
      </c>
      <c r="V56" s="225">
        <f t="shared" si="18"/>
        <v>0</v>
      </c>
    </row>
    <row r="57" spans="1:22" ht="16.399999999999999" customHeight="1" x14ac:dyDescent="0.35">
      <c r="A57" s="65" t="s">
        <v>2</v>
      </c>
      <c r="B57" s="65"/>
      <c r="C57" s="65">
        <f>AVERAGE(C49,C56,C42,C35,C28,C21,C14)</f>
        <v>1918.1428571428571</v>
      </c>
      <c r="D57" s="65">
        <f t="shared" ref="D57:V57" si="19">AVERAGE(D49,D56,D42,D35,D28,D21,D14)</f>
        <v>0</v>
      </c>
      <c r="E57" s="65">
        <f t="shared" si="19"/>
        <v>1885.1428571428571</v>
      </c>
      <c r="F57" s="65">
        <f t="shared" si="19"/>
        <v>0</v>
      </c>
      <c r="G57" s="65">
        <f t="shared" si="19"/>
        <v>0</v>
      </c>
      <c r="H57" s="65">
        <f t="shared" si="19"/>
        <v>0</v>
      </c>
      <c r="I57" s="65">
        <f t="shared" si="19"/>
        <v>1069.5714285714287</v>
      </c>
      <c r="J57" s="65">
        <f t="shared" si="19"/>
        <v>0</v>
      </c>
      <c r="K57" s="65">
        <f t="shared" si="19"/>
        <v>0</v>
      </c>
      <c r="L57" s="65">
        <f t="shared" si="19"/>
        <v>0</v>
      </c>
      <c r="M57" s="65">
        <f t="shared" si="19"/>
        <v>0</v>
      </c>
      <c r="N57" s="65">
        <f t="shared" si="19"/>
        <v>1918.1428571428571</v>
      </c>
      <c r="O57" s="65">
        <f t="shared" si="19"/>
        <v>1918.1428571428571</v>
      </c>
      <c r="P57" s="65">
        <f t="shared" si="19"/>
        <v>1918.1428571428571</v>
      </c>
      <c r="Q57" s="65">
        <f t="shared" si="19"/>
        <v>0</v>
      </c>
      <c r="R57" s="65">
        <f t="shared" si="19"/>
        <v>0</v>
      </c>
      <c r="S57" s="65">
        <f t="shared" si="19"/>
        <v>0</v>
      </c>
      <c r="T57" s="65">
        <f t="shared" si="19"/>
        <v>0</v>
      </c>
      <c r="U57" s="65">
        <f t="shared" si="19"/>
        <v>1918.1428571428571</v>
      </c>
      <c r="V57" s="65">
        <f t="shared" si="19"/>
        <v>1918.1428571428571</v>
      </c>
    </row>
    <row r="58" spans="1:22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4"/>
      <c r="O58" s="154"/>
      <c r="P58" s="154"/>
      <c r="Q58" s="154"/>
      <c r="R58" s="154"/>
      <c r="S58" s="152"/>
      <c r="T58" s="152"/>
      <c r="U58" s="152"/>
      <c r="V58" s="154"/>
    </row>
    <row r="59" spans="1:22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</row>
    <row r="60" spans="1:22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</row>
    <row r="61" spans="1:22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</row>
    <row r="62" spans="1:22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</row>
    <row r="63" spans="1:22" x14ac:dyDescent="0.35">
      <c r="A63" s="225" t="s">
        <v>167</v>
      </c>
      <c r="B63" s="225"/>
      <c r="C63" s="225">
        <f>IFERROR(C60-C59,"")</f>
        <v>0</v>
      </c>
      <c r="D63" s="225">
        <f t="shared" ref="D63:P63" si="20">IFERROR(D60-D59,"")</f>
        <v>0</v>
      </c>
      <c r="E63" s="225">
        <f t="shared" si="20"/>
        <v>0</v>
      </c>
      <c r="F63" s="225">
        <f t="shared" si="20"/>
        <v>0</v>
      </c>
      <c r="G63" s="225">
        <f t="shared" si="20"/>
        <v>0</v>
      </c>
      <c r="H63" s="225">
        <f t="shared" si="20"/>
        <v>0</v>
      </c>
      <c r="I63" s="225">
        <f t="shared" si="20"/>
        <v>0</v>
      </c>
      <c r="J63" s="225">
        <f t="shared" si="20"/>
        <v>0</v>
      </c>
      <c r="K63" s="225">
        <f t="shared" si="20"/>
        <v>0</v>
      </c>
      <c r="L63" s="225">
        <f t="shared" si="20"/>
        <v>0</v>
      </c>
      <c r="M63" s="225">
        <f t="shared" si="20"/>
        <v>0</v>
      </c>
      <c r="N63" s="225">
        <f t="shared" si="20"/>
        <v>0</v>
      </c>
      <c r="O63" s="225">
        <f t="shared" si="20"/>
        <v>0</v>
      </c>
      <c r="P63" s="225">
        <f t="shared" si="20"/>
        <v>0</v>
      </c>
      <c r="Q63" s="225">
        <f t="shared" ref="Q63:V63" si="21">IFERROR(Q60-Q59,"")</f>
        <v>0</v>
      </c>
      <c r="R63" s="225">
        <f t="shared" si="21"/>
        <v>0</v>
      </c>
      <c r="S63" s="225">
        <f t="shared" si="21"/>
        <v>0</v>
      </c>
      <c r="T63" s="225">
        <f t="shared" si="21"/>
        <v>0</v>
      </c>
      <c r="U63" s="225">
        <f t="shared" si="21"/>
        <v>0</v>
      </c>
      <c r="V63" s="225">
        <f t="shared" si="21"/>
        <v>0</v>
      </c>
    </row>
    <row r="64" spans="1:22" ht="16.399999999999999" customHeight="1" x14ac:dyDescent="0.35">
      <c r="A64" s="65" t="s">
        <v>2</v>
      </c>
      <c r="B64" s="65"/>
      <c r="C64" s="65">
        <f>AVERAGE(C56,C63,C49,C42,C35,C28,C21,C14)</f>
        <v>1678.375</v>
      </c>
      <c r="D64" s="65">
        <f t="shared" ref="D64:V64" si="22">AVERAGE(D56,D63,D49,D42,D35,D28,D21,D14)</f>
        <v>0</v>
      </c>
      <c r="E64" s="65">
        <f t="shared" si="22"/>
        <v>1649.5</v>
      </c>
      <c r="F64" s="65">
        <f t="shared" si="22"/>
        <v>0</v>
      </c>
      <c r="G64" s="65">
        <f t="shared" si="22"/>
        <v>0</v>
      </c>
      <c r="H64" s="65">
        <f t="shared" si="22"/>
        <v>0</v>
      </c>
      <c r="I64" s="65">
        <f t="shared" si="22"/>
        <v>935.875</v>
      </c>
      <c r="J64" s="65">
        <f t="shared" si="22"/>
        <v>0</v>
      </c>
      <c r="K64" s="65">
        <f t="shared" si="22"/>
        <v>0</v>
      </c>
      <c r="L64" s="65">
        <f t="shared" si="22"/>
        <v>0</v>
      </c>
      <c r="M64" s="65">
        <f t="shared" si="22"/>
        <v>0</v>
      </c>
      <c r="N64" s="65">
        <f t="shared" si="22"/>
        <v>1678.375</v>
      </c>
      <c r="O64" s="65">
        <f t="shared" si="22"/>
        <v>1678.375</v>
      </c>
      <c r="P64" s="65">
        <f t="shared" si="22"/>
        <v>1678.375</v>
      </c>
      <c r="Q64" s="65">
        <f t="shared" si="22"/>
        <v>0</v>
      </c>
      <c r="R64" s="65">
        <f t="shared" si="22"/>
        <v>0</v>
      </c>
      <c r="S64" s="65">
        <f t="shared" si="22"/>
        <v>0</v>
      </c>
      <c r="T64" s="65">
        <f t="shared" si="22"/>
        <v>0</v>
      </c>
      <c r="U64" s="65">
        <f t="shared" si="22"/>
        <v>1678.375</v>
      </c>
      <c r="V64" s="65">
        <f t="shared" si="22"/>
        <v>1678.375</v>
      </c>
    </row>
  </sheetData>
  <sheetProtection algorithmName="SHA-512" hashValue="D5W9cRa1Sf0XUa7Kn5A0koIaGdhmqyY95lH23EQ3rSNyGdgzmjfYWLFfWMADKuaBdaoXO6XWoVVaXJQrRJbOAw==" saltValue="j18/tXI66pk5OT5e2rTVFA==" spinCount="100000" sheet="1" objects="1" scenarios="1"/>
  <autoFilter ref="A2:V64" xr:uid="{00000000-0009-0000-0000-00000D000000}"/>
  <mergeCells count="2">
    <mergeCell ref="A7:B7"/>
    <mergeCell ref="A8:B8"/>
  </mergeCells>
  <conditionalFormatting sqref="D15">
    <cfRule type="expression" dxfId="1031" priority="79">
      <formula>D15&lt;D17</formula>
    </cfRule>
    <cfRule type="expression" dxfId="1030" priority="80">
      <formula>D15&gt;$C$18</formula>
    </cfRule>
  </conditionalFormatting>
  <conditionalFormatting sqref="E15">
    <cfRule type="expression" dxfId="1029" priority="77" stopIfTrue="1">
      <formula>E15&lt;E17</formula>
    </cfRule>
    <cfRule type="expression" dxfId="1028" priority="78" stopIfTrue="1">
      <formula>E15&gt;$C$18</formula>
    </cfRule>
  </conditionalFormatting>
  <conditionalFormatting sqref="F15 H15:N15">
    <cfRule type="expression" dxfId="1027" priority="75">
      <formula>F15&lt;F17</formula>
    </cfRule>
    <cfRule type="expression" dxfId="1026" priority="76">
      <formula>F15&gt;F17</formula>
    </cfRule>
  </conditionalFormatting>
  <conditionalFormatting sqref="G15">
    <cfRule type="expression" dxfId="1025" priority="73">
      <formula>G15&lt;G17</formula>
    </cfRule>
    <cfRule type="expression" dxfId="1024" priority="74">
      <formula>G15&gt;G17</formula>
    </cfRule>
  </conditionalFormatting>
  <conditionalFormatting sqref="C15">
    <cfRule type="expression" dxfId="1023" priority="71">
      <formula>C15&lt;C17</formula>
    </cfRule>
    <cfRule type="expression" dxfId="1022" priority="72">
      <formula>C15&gt;C16</formula>
    </cfRule>
  </conditionalFormatting>
  <conditionalFormatting sqref="P15:V15">
    <cfRule type="expression" dxfId="1021" priority="69">
      <formula>P15&lt;P17</formula>
    </cfRule>
    <cfRule type="expression" dxfId="1020" priority="70">
      <formula>P15&gt;P16</formula>
    </cfRule>
  </conditionalFormatting>
  <conditionalFormatting sqref="O15">
    <cfRule type="expression" dxfId="1019" priority="67">
      <formula>O15&lt;O17</formula>
    </cfRule>
    <cfRule type="expression" dxfId="1018" priority="68">
      <formula>O15&gt;O16</formula>
    </cfRule>
  </conditionalFormatting>
  <conditionalFormatting sqref="D22">
    <cfRule type="expression" dxfId="1017" priority="65">
      <formula>D22&lt;D23</formula>
    </cfRule>
    <cfRule type="expression" dxfId="1016" priority="66">
      <formula>D22&gt;$C$18</formula>
    </cfRule>
  </conditionalFormatting>
  <conditionalFormatting sqref="E22">
    <cfRule type="expression" dxfId="1015" priority="63" stopIfTrue="1">
      <formula>E22&lt;E23</formula>
    </cfRule>
    <cfRule type="expression" dxfId="1014" priority="64" stopIfTrue="1">
      <formula>E22&gt;$C$18</formula>
    </cfRule>
  </conditionalFormatting>
  <conditionalFormatting sqref="F22 H22:N22">
    <cfRule type="expression" dxfId="1013" priority="61">
      <formula>F22&lt;F23</formula>
    </cfRule>
    <cfRule type="expression" dxfId="1012" priority="62">
      <formula>F22&gt;F23</formula>
    </cfRule>
  </conditionalFormatting>
  <conditionalFormatting sqref="G22">
    <cfRule type="expression" dxfId="1011" priority="59">
      <formula>G22&lt;G23</formula>
    </cfRule>
    <cfRule type="expression" dxfId="1010" priority="60">
      <formula>G22&gt;G23</formula>
    </cfRule>
  </conditionalFormatting>
  <conditionalFormatting sqref="C22:V22">
    <cfRule type="expression" dxfId="1009" priority="379">
      <formula>C22&lt;C23</formula>
    </cfRule>
    <cfRule type="expression" dxfId="1008" priority="380">
      <formula>C22&gt;#REF!</formula>
    </cfRule>
  </conditionalFormatting>
  <conditionalFormatting sqref="D29">
    <cfRule type="expression" dxfId="1007" priority="381">
      <formula>D29&lt;#REF!</formula>
    </cfRule>
    <cfRule type="expression" dxfId="1006" priority="382">
      <formula>D29&gt;$C$18</formula>
    </cfRule>
  </conditionalFormatting>
  <conditionalFormatting sqref="E29">
    <cfRule type="expression" dxfId="1005" priority="383" stopIfTrue="1">
      <formula>E29&lt;#REF!</formula>
    </cfRule>
    <cfRule type="expression" dxfId="1004" priority="384" stopIfTrue="1">
      <formula>E29&gt;$C$18</formula>
    </cfRule>
  </conditionalFormatting>
  <conditionalFormatting sqref="F29:V29">
    <cfRule type="expression" dxfId="1003" priority="385">
      <formula>F29&lt;#REF!</formula>
    </cfRule>
    <cfRule type="expression" dxfId="1002" priority="386">
      <formula>F29&gt;#REF!</formula>
    </cfRule>
  </conditionalFormatting>
  <conditionalFormatting sqref="D36">
    <cfRule type="expression" dxfId="1001" priority="37">
      <formula>D36&lt;#REF!</formula>
    </cfRule>
    <cfRule type="expression" dxfId="1000" priority="38">
      <formula>D36&gt;$C$18</formula>
    </cfRule>
  </conditionalFormatting>
  <conditionalFormatting sqref="E36">
    <cfRule type="expression" dxfId="999" priority="39" stopIfTrue="1">
      <formula>E36&lt;#REF!</formula>
    </cfRule>
    <cfRule type="expression" dxfId="998" priority="40" stopIfTrue="1">
      <formula>E36&gt;$C$18</formula>
    </cfRule>
  </conditionalFormatting>
  <conditionalFormatting sqref="F36:V36">
    <cfRule type="expression" dxfId="997" priority="41">
      <formula>F36&lt;#REF!</formula>
    </cfRule>
    <cfRule type="expression" dxfId="996" priority="42">
      <formula>F36&gt;#REF!</formula>
    </cfRule>
  </conditionalFormatting>
  <conditionalFormatting sqref="D43">
    <cfRule type="expression" dxfId="995" priority="31">
      <formula>D43&lt;#REF!</formula>
    </cfRule>
    <cfRule type="expression" dxfId="994" priority="32">
      <formula>D43&gt;$C$18</formula>
    </cfRule>
  </conditionalFormatting>
  <conditionalFormatting sqref="E43">
    <cfRule type="expression" dxfId="993" priority="33" stopIfTrue="1">
      <formula>E43&lt;#REF!</formula>
    </cfRule>
    <cfRule type="expression" dxfId="992" priority="34" stopIfTrue="1">
      <formula>E43&gt;$C$18</formula>
    </cfRule>
  </conditionalFormatting>
  <conditionalFormatting sqref="F43:V43">
    <cfRule type="expression" dxfId="991" priority="35">
      <formula>F43&lt;#REF!</formula>
    </cfRule>
    <cfRule type="expression" dxfId="990" priority="36">
      <formula>F43&gt;#REF!</formula>
    </cfRule>
  </conditionalFormatting>
  <conditionalFormatting sqref="D50">
    <cfRule type="expression" dxfId="989" priority="25">
      <formula>D50&lt;#REF!</formula>
    </cfRule>
    <cfRule type="expression" dxfId="988" priority="26">
      <formula>D50&gt;$C$18</formula>
    </cfRule>
  </conditionalFormatting>
  <conditionalFormatting sqref="E50">
    <cfRule type="expression" dxfId="987" priority="27" stopIfTrue="1">
      <formula>E50&lt;#REF!</formula>
    </cfRule>
    <cfRule type="expression" dxfId="986" priority="28" stopIfTrue="1">
      <formula>E50&gt;$C$18</formula>
    </cfRule>
  </conditionalFormatting>
  <conditionalFormatting sqref="F50:V50">
    <cfRule type="expression" dxfId="985" priority="29">
      <formula>F50&lt;#REF!</formula>
    </cfRule>
    <cfRule type="expression" dxfId="984" priority="30">
      <formula>F50&gt;#REF!</formula>
    </cfRule>
  </conditionalFormatting>
  <conditionalFormatting sqref="D57">
    <cfRule type="expression" dxfId="983" priority="19">
      <formula>D57&lt;#REF!</formula>
    </cfRule>
    <cfRule type="expression" dxfId="982" priority="20">
      <formula>D57&gt;$C$18</formula>
    </cfRule>
  </conditionalFormatting>
  <conditionalFormatting sqref="E57">
    <cfRule type="expression" dxfId="981" priority="21" stopIfTrue="1">
      <formula>E57&lt;#REF!</formula>
    </cfRule>
    <cfRule type="expression" dxfId="980" priority="22" stopIfTrue="1">
      <formula>E57&gt;$C$18</formula>
    </cfRule>
  </conditionalFormatting>
  <conditionalFormatting sqref="F57:V57">
    <cfRule type="expression" dxfId="979" priority="23">
      <formula>F57&lt;#REF!</formula>
    </cfRule>
    <cfRule type="expression" dxfId="978" priority="24">
      <formula>F57&gt;#REF!</formula>
    </cfRule>
  </conditionalFormatting>
  <conditionalFormatting sqref="D64">
    <cfRule type="expression" dxfId="977" priority="13">
      <formula>D64&lt;#REF!</formula>
    </cfRule>
    <cfRule type="expression" dxfId="976" priority="14">
      <formula>D64&gt;$C$18</formula>
    </cfRule>
  </conditionalFormatting>
  <conditionalFormatting sqref="E64">
    <cfRule type="expression" dxfId="975" priority="15" stopIfTrue="1">
      <formula>E64&lt;#REF!</formula>
    </cfRule>
    <cfRule type="expression" dxfId="974" priority="16" stopIfTrue="1">
      <formula>E64&gt;$C$18</formula>
    </cfRule>
  </conditionalFormatting>
  <conditionalFormatting sqref="F64:V64">
    <cfRule type="expression" dxfId="973" priority="17">
      <formula>F64&lt;#REF!</formula>
    </cfRule>
    <cfRule type="expression" dxfId="972" priority="18">
      <formula>F64&gt;#REF!</formula>
    </cfRule>
  </conditionalFormatting>
  <conditionalFormatting sqref="C29:V29">
    <cfRule type="expression" dxfId="971" priority="11">
      <formula>C29&lt;C30</formula>
    </cfRule>
    <cfRule type="expression" dxfId="970" priority="12">
      <formula>C29&gt;#REF!</formula>
    </cfRule>
  </conditionalFormatting>
  <conditionalFormatting sqref="C64:V64">
    <cfRule type="expression" dxfId="969" priority="1">
      <formula>C64&lt;C65</formula>
    </cfRule>
    <cfRule type="expression" dxfId="968" priority="2">
      <formula>C64&gt;#REF!</formula>
    </cfRule>
  </conditionalFormatting>
  <conditionalFormatting sqref="C36:V36">
    <cfRule type="expression" dxfId="967" priority="9">
      <formula>C36&lt;C37</formula>
    </cfRule>
    <cfRule type="expression" dxfId="966" priority="10">
      <formula>C36&gt;#REF!</formula>
    </cfRule>
  </conditionalFormatting>
  <conditionalFormatting sqref="C43:V43">
    <cfRule type="expression" dxfId="965" priority="7">
      <formula>C43&lt;C44</formula>
    </cfRule>
    <cfRule type="expression" dxfId="964" priority="8">
      <formula>C43&gt;#REF!</formula>
    </cfRule>
  </conditionalFormatting>
  <conditionalFormatting sqref="C50:V50">
    <cfRule type="expression" dxfId="963" priority="5">
      <formula>C50&lt;C51</formula>
    </cfRule>
    <cfRule type="expression" dxfId="962" priority="6">
      <formula>C50&gt;#REF!</formula>
    </cfRule>
  </conditionalFormatting>
  <conditionalFormatting sqref="C57:V57">
    <cfRule type="expression" dxfId="961" priority="3">
      <formula>C57&lt;C58</formula>
    </cfRule>
    <cfRule type="expression" dxfId="960" priority="4">
      <formula>C57&gt;#REF!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U64"/>
  <sheetViews>
    <sheetView zoomScale="80" zoomScaleNormal="80" workbookViewId="0">
      <selection activeCell="E19" sqref="E19"/>
    </sheetView>
  </sheetViews>
  <sheetFormatPr defaultColWidth="8.81640625" defaultRowHeight="14.5" x14ac:dyDescent="0.35"/>
  <cols>
    <col min="1" max="1" width="17" style="1" customWidth="1"/>
    <col min="2" max="2" width="4.81640625" style="1" customWidth="1"/>
    <col min="3" max="4" width="16.54296875" style="1" customWidth="1"/>
    <col min="5" max="5" width="16.81640625" style="1" customWidth="1"/>
    <col min="6" max="6" width="16.453125" style="1" customWidth="1"/>
    <col min="7" max="8" width="17.81640625" style="1" customWidth="1"/>
    <col min="9" max="9" width="19.1796875" style="1" customWidth="1"/>
    <col min="10" max="10" width="20.1796875" style="1" customWidth="1"/>
    <col min="11" max="11" width="13.81640625" style="1" customWidth="1"/>
    <col min="12" max="12" width="20.1796875" style="1" customWidth="1"/>
    <col min="13" max="14" width="13.453125" style="1" customWidth="1"/>
    <col min="15" max="15" width="19.81640625" style="1" customWidth="1"/>
    <col min="16" max="16" width="18.453125" style="1" customWidth="1"/>
    <col min="17" max="17" width="19.1796875" style="1" customWidth="1"/>
    <col min="18" max="18" width="19.81640625" style="1" customWidth="1"/>
    <col min="19" max="20" width="17.1796875" style="1" bestFit="1" customWidth="1"/>
    <col min="21" max="21" width="15.1796875" style="1" bestFit="1" customWidth="1"/>
    <col min="22" max="16384" width="8.81640625" style="1"/>
  </cols>
  <sheetData>
    <row r="1" spans="1:21" ht="24" thickBot="1" x14ac:dyDescent="0.4">
      <c r="A1" s="99"/>
    </row>
    <row r="2" spans="1:21" x14ac:dyDescent="0.35">
      <c r="E2" s="2" t="s">
        <v>361</v>
      </c>
      <c r="F2" s="3"/>
      <c r="G2" s="3" t="s">
        <v>104</v>
      </c>
      <c r="H2" s="3"/>
      <c r="I2" s="4"/>
    </row>
    <row r="3" spans="1:21" x14ac:dyDescent="0.35">
      <c r="E3" s="5"/>
      <c r="F3" s="6" t="s">
        <v>106</v>
      </c>
      <c r="G3" s="7" t="s">
        <v>275</v>
      </c>
      <c r="H3" s="6"/>
      <c r="I3" s="8"/>
    </row>
    <row r="4" spans="1:21" ht="15" thickBot="1" x14ac:dyDescent="0.4">
      <c r="A4" s="1" t="s">
        <v>168</v>
      </c>
      <c r="B4" s="1" t="s">
        <v>169</v>
      </c>
      <c r="E4" s="9"/>
      <c r="F4" s="10" t="s">
        <v>276</v>
      </c>
      <c r="G4" s="11"/>
      <c r="H4" s="10" t="s">
        <v>112</v>
      </c>
      <c r="I4" s="12"/>
    </row>
    <row r="5" spans="1:21" ht="24" customHeight="1" x14ac:dyDescent="0.35">
      <c r="A5" s="13" t="s">
        <v>77</v>
      </c>
      <c r="B5" s="1" t="s">
        <v>362</v>
      </c>
    </row>
    <row r="6" spans="1:21" ht="28.4" customHeight="1" x14ac:dyDescent="0.35">
      <c r="A6" s="14" t="s">
        <v>200</v>
      </c>
      <c r="B6" s="93"/>
      <c r="C6" s="52" t="s">
        <v>57</v>
      </c>
      <c r="D6" s="14" t="s">
        <v>78</v>
      </c>
      <c r="E6" s="52" t="s">
        <v>58</v>
      </c>
      <c r="F6" s="14" t="s">
        <v>79</v>
      </c>
      <c r="G6" s="15" t="s">
        <v>80</v>
      </c>
      <c r="H6" s="15" t="s">
        <v>81</v>
      </c>
      <c r="I6" s="100" t="s">
        <v>59</v>
      </c>
      <c r="J6" s="14" t="s">
        <v>82</v>
      </c>
      <c r="K6" s="14" t="s">
        <v>75</v>
      </c>
      <c r="L6" s="14" t="s">
        <v>83</v>
      </c>
      <c r="M6" s="52" t="s">
        <v>60</v>
      </c>
      <c r="N6" s="52" t="s">
        <v>61</v>
      </c>
      <c r="O6" s="14" t="s">
        <v>62</v>
      </c>
      <c r="P6" s="101" t="s">
        <v>63</v>
      </c>
      <c r="Q6" s="14" t="s">
        <v>84</v>
      </c>
      <c r="R6" s="14" t="s">
        <v>85</v>
      </c>
      <c r="S6" s="14" t="s">
        <v>86</v>
      </c>
      <c r="T6" s="14" t="s">
        <v>87</v>
      </c>
      <c r="U6" s="14" t="s">
        <v>65</v>
      </c>
    </row>
    <row r="7" spans="1:21" x14ac:dyDescent="0.35">
      <c r="A7" s="256" t="s">
        <v>137</v>
      </c>
      <c r="B7" s="256"/>
      <c r="C7" s="17" t="s">
        <v>140</v>
      </c>
      <c r="D7" s="17" t="s">
        <v>141</v>
      </c>
      <c r="E7" s="18" t="s">
        <v>138</v>
      </c>
      <c r="F7" s="17" t="s">
        <v>215</v>
      </c>
      <c r="G7" s="17" t="s">
        <v>142</v>
      </c>
      <c r="H7" s="17" t="s">
        <v>143</v>
      </c>
      <c r="I7" s="17" t="s">
        <v>144</v>
      </c>
      <c r="J7" s="17" t="s">
        <v>145</v>
      </c>
      <c r="K7" s="17" t="s">
        <v>146</v>
      </c>
      <c r="L7" s="17" t="s">
        <v>147</v>
      </c>
      <c r="M7" s="17" t="s">
        <v>148</v>
      </c>
      <c r="N7" s="17" t="s">
        <v>149</v>
      </c>
      <c r="O7" s="17" t="s">
        <v>150</v>
      </c>
      <c r="P7" s="17" t="s">
        <v>151</v>
      </c>
      <c r="Q7" s="17" t="s">
        <v>152</v>
      </c>
      <c r="R7" s="17" t="s">
        <v>153</v>
      </c>
      <c r="S7" s="17" t="s">
        <v>154</v>
      </c>
      <c r="T7" s="17" t="s">
        <v>155</v>
      </c>
      <c r="U7" s="17" t="s">
        <v>157</v>
      </c>
    </row>
    <row r="8" spans="1:21" x14ac:dyDescent="0.35">
      <c r="A8" s="257" t="s">
        <v>158</v>
      </c>
      <c r="B8" s="257"/>
      <c r="C8" s="19">
        <v>1</v>
      </c>
      <c r="D8" s="20">
        <v>1</v>
      </c>
      <c r="E8" s="19">
        <v>1</v>
      </c>
      <c r="F8" s="19">
        <v>1</v>
      </c>
      <c r="G8" s="19">
        <v>1</v>
      </c>
      <c r="H8" s="19">
        <v>1</v>
      </c>
      <c r="I8" s="19">
        <v>1</v>
      </c>
      <c r="J8" s="19">
        <v>2</v>
      </c>
      <c r="K8" s="19">
        <v>1</v>
      </c>
      <c r="L8" s="19">
        <v>2</v>
      </c>
      <c r="M8" s="19">
        <v>1</v>
      </c>
      <c r="N8" s="19">
        <v>1</v>
      </c>
      <c r="O8" s="19">
        <v>1</v>
      </c>
      <c r="P8" s="19">
        <v>1</v>
      </c>
      <c r="Q8" s="19">
        <v>1</v>
      </c>
      <c r="R8" s="19">
        <v>1</v>
      </c>
      <c r="S8" s="19">
        <v>1</v>
      </c>
      <c r="T8" s="19">
        <v>4</v>
      </c>
      <c r="U8" s="19">
        <v>1</v>
      </c>
    </row>
    <row r="9" spans="1:21" x14ac:dyDescent="0.35">
      <c r="A9" s="21" t="s">
        <v>159</v>
      </c>
      <c r="B9" s="22"/>
      <c r="C9" s="238" t="s">
        <v>225</v>
      </c>
      <c r="D9" s="24"/>
      <c r="E9" s="228" t="s">
        <v>225</v>
      </c>
      <c r="F9" s="228" t="s">
        <v>225</v>
      </c>
      <c r="G9" s="24"/>
      <c r="H9" s="24"/>
      <c r="I9" s="238" t="s">
        <v>225</v>
      </c>
      <c r="J9" s="238" t="s">
        <v>225</v>
      </c>
      <c r="K9" s="25"/>
      <c r="L9" s="23"/>
      <c r="M9" s="24"/>
      <c r="N9" s="228" t="s">
        <v>225</v>
      </c>
      <c r="O9" s="238" t="s">
        <v>225</v>
      </c>
      <c r="P9" s="238" t="s">
        <v>225</v>
      </c>
      <c r="Q9" s="25"/>
      <c r="R9" s="24"/>
      <c r="S9" s="228" t="s">
        <v>225</v>
      </c>
      <c r="T9" s="228" t="s">
        <v>225</v>
      </c>
      <c r="U9" s="24"/>
    </row>
    <row r="10" spans="1:21" x14ac:dyDescent="0.35">
      <c r="A10" s="26" t="s">
        <v>161</v>
      </c>
      <c r="B10" s="27" t="s">
        <v>162</v>
      </c>
      <c r="C10" s="29">
        <v>0</v>
      </c>
      <c r="D10" s="28"/>
      <c r="E10" s="28">
        <v>0</v>
      </c>
      <c r="F10" s="28">
        <v>0</v>
      </c>
      <c r="G10" s="28"/>
      <c r="H10" s="28"/>
      <c r="I10" s="29">
        <v>0</v>
      </c>
      <c r="J10" s="29">
        <v>0</v>
      </c>
      <c r="K10" s="28"/>
      <c r="L10" s="29"/>
      <c r="M10" s="28"/>
      <c r="N10" s="28">
        <v>0</v>
      </c>
      <c r="O10" s="29">
        <v>0</v>
      </c>
      <c r="P10" s="29">
        <v>0</v>
      </c>
      <c r="Q10" s="28"/>
      <c r="R10" s="28"/>
      <c r="S10" s="28">
        <v>0</v>
      </c>
      <c r="T10" s="28">
        <v>0</v>
      </c>
      <c r="U10" s="28"/>
    </row>
    <row r="11" spans="1:21" x14ac:dyDescent="0.35">
      <c r="A11" s="26" t="s">
        <v>161</v>
      </c>
      <c r="B11" s="27" t="s">
        <v>163</v>
      </c>
      <c r="C11" s="29">
        <v>25009</v>
      </c>
      <c r="D11" s="28"/>
      <c r="E11" s="28">
        <v>14308</v>
      </c>
      <c r="F11" s="28">
        <v>14308</v>
      </c>
      <c r="G11" s="28"/>
      <c r="H11" s="28"/>
      <c r="I11" s="29">
        <v>14308</v>
      </c>
      <c r="J11" s="29">
        <v>14308</v>
      </c>
      <c r="K11" s="28"/>
      <c r="L11" s="29"/>
      <c r="M11" s="28"/>
      <c r="N11" s="28">
        <v>14308</v>
      </c>
      <c r="O11" s="29">
        <v>8940</v>
      </c>
      <c r="P11" s="29">
        <v>4494</v>
      </c>
      <c r="Q11" s="28"/>
      <c r="R11" s="28"/>
      <c r="S11" s="28">
        <v>14308</v>
      </c>
      <c r="T11" s="28">
        <v>14308</v>
      </c>
      <c r="U11" s="28"/>
    </row>
    <row r="12" spans="1:21" x14ac:dyDescent="0.35">
      <c r="A12" s="26" t="s">
        <v>164</v>
      </c>
      <c r="B12" s="27"/>
      <c r="C12" s="30" t="s">
        <v>363</v>
      </c>
      <c r="D12" s="28"/>
      <c r="E12" s="28" t="s">
        <v>364</v>
      </c>
      <c r="F12" s="28" t="s">
        <v>364</v>
      </c>
      <c r="G12" s="28"/>
      <c r="H12" s="28"/>
      <c r="I12" s="30" t="s">
        <v>364</v>
      </c>
      <c r="J12" s="31" t="s">
        <v>364</v>
      </c>
      <c r="K12" s="28"/>
      <c r="L12" s="30"/>
      <c r="M12" s="28"/>
      <c r="N12" s="28" t="s">
        <v>364</v>
      </c>
      <c r="O12" s="31" t="s">
        <v>365</v>
      </c>
      <c r="P12" s="31" t="s">
        <v>366</v>
      </c>
      <c r="Q12" s="28"/>
      <c r="R12" s="28"/>
      <c r="S12" s="28" t="s">
        <v>364</v>
      </c>
      <c r="T12" s="28" t="s">
        <v>364</v>
      </c>
      <c r="U12" s="28"/>
    </row>
    <row r="13" spans="1:21" x14ac:dyDescent="0.35">
      <c r="A13" s="32" t="s">
        <v>165</v>
      </c>
      <c r="B13" s="33"/>
      <c r="C13" s="34" t="s">
        <v>264</v>
      </c>
      <c r="D13" s="28"/>
      <c r="E13" s="28" t="s">
        <v>264</v>
      </c>
      <c r="F13" s="28" t="s">
        <v>264</v>
      </c>
      <c r="G13" s="28"/>
      <c r="H13" s="28"/>
      <c r="I13" s="34" t="s">
        <v>264</v>
      </c>
      <c r="J13" s="34" t="s">
        <v>264</v>
      </c>
      <c r="K13" s="28"/>
      <c r="L13" s="34"/>
      <c r="M13" s="28"/>
      <c r="N13" s="28" t="s">
        <v>264</v>
      </c>
      <c r="O13" s="34" t="s">
        <v>264</v>
      </c>
      <c r="P13" s="34" t="s">
        <v>264</v>
      </c>
      <c r="Q13" s="28"/>
      <c r="R13" s="28"/>
      <c r="S13" s="28" t="s">
        <v>264</v>
      </c>
      <c r="T13" s="28" t="s">
        <v>264</v>
      </c>
      <c r="U13" s="28"/>
    </row>
    <row r="14" spans="1:21" x14ac:dyDescent="0.35">
      <c r="A14" s="225" t="s">
        <v>167</v>
      </c>
      <c r="B14" s="63"/>
      <c r="C14" s="105">
        <f>IFERROR(C11-C10,"")</f>
        <v>25009</v>
      </c>
      <c r="D14" s="105">
        <f t="shared" ref="D14:U14" si="0">IFERROR(D11-D10,"")</f>
        <v>0</v>
      </c>
      <c r="E14" s="105">
        <f t="shared" si="0"/>
        <v>14308</v>
      </c>
      <c r="F14" s="105">
        <f t="shared" si="0"/>
        <v>14308</v>
      </c>
      <c r="G14" s="105">
        <f t="shared" si="0"/>
        <v>0</v>
      </c>
      <c r="H14" s="105">
        <f t="shared" si="0"/>
        <v>0</v>
      </c>
      <c r="I14" s="105">
        <f t="shared" si="0"/>
        <v>14308</v>
      </c>
      <c r="J14" s="105">
        <f t="shared" si="0"/>
        <v>14308</v>
      </c>
      <c r="K14" s="105">
        <f t="shared" si="0"/>
        <v>0</v>
      </c>
      <c r="L14" s="105">
        <f t="shared" si="0"/>
        <v>0</v>
      </c>
      <c r="M14" s="105">
        <f t="shared" si="0"/>
        <v>0</v>
      </c>
      <c r="N14" s="105">
        <f t="shared" si="0"/>
        <v>14308</v>
      </c>
      <c r="O14" s="105">
        <f t="shared" si="0"/>
        <v>8940</v>
      </c>
      <c r="P14" s="105">
        <f t="shared" si="0"/>
        <v>4494</v>
      </c>
      <c r="Q14" s="105">
        <f t="shared" si="0"/>
        <v>0</v>
      </c>
      <c r="R14" s="105">
        <f t="shared" si="0"/>
        <v>0</v>
      </c>
      <c r="S14" s="105">
        <f t="shared" si="0"/>
        <v>14308</v>
      </c>
      <c r="T14" s="105">
        <f t="shared" si="0"/>
        <v>14308</v>
      </c>
      <c r="U14" s="105">
        <f t="shared" si="0"/>
        <v>0</v>
      </c>
    </row>
    <row r="15" spans="1:21" ht="16.399999999999999" customHeight="1" x14ac:dyDescent="0.35">
      <c r="A15" s="65" t="s">
        <v>2</v>
      </c>
      <c r="B15" s="66"/>
      <c r="C15" s="103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3"/>
      <c r="P15" s="103"/>
      <c r="Q15" s="104"/>
      <c r="R15" s="104"/>
      <c r="S15" s="104"/>
      <c r="T15" s="104"/>
      <c r="U15" s="104"/>
    </row>
    <row r="16" spans="1:21" x14ac:dyDescent="0.35">
      <c r="A16" s="21" t="s">
        <v>159</v>
      </c>
      <c r="B16" s="22"/>
      <c r="C16" s="91" t="s">
        <v>363</v>
      </c>
      <c r="D16" s="25"/>
      <c r="E16" s="25" t="s">
        <v>364</v>
      </c>
      <c r="F16" s="25" t="s">
        <v>364</v>
      </c>
      <c r="G16" s="25"/>
      <c r="H16" s="25"/>
      <c r="I16" s="25" t="s">
        <v>364</v>
      </c>
      <c r="J16" s="31" t="s">
        <v>364</v>
      </c>
      <c r="K16" s="25"/>
      <c r="L16" s="25"/>
      <c r="M16" s="25"/>
      <c r="N16" s="24" t="s">
        <v>364</v>
      </c>
      <c r="O16" s="31" t="s">
        <v>365</v>
      </c>
      <c r="P16" s="31" t="s">
        <v>366</v>
      </c>
      <c r="Q16" s="25"/>
      <c r="R16" s="25"/>
      <c r="S16" s="25"/>
      <c r="T16" s="25"/>
      <c r="U16" s="25"/>
    </row>
    <row r="17" spans="1:21" x14ac:dyDescent="0.35">
      <c r="A17" s="26" t="s">
        <v>161</v>
      </c>
      <c r="B17" s="27" t="s">
        <v>162</v>
      </c>
      <c r="C17" s="36">
        <v>25009</v>
      </c>
      <c r="D17" s="28"/>
      <c r="E17" s="28">
        <v>14308</v>
      </c>
      <c r="F17" s="28">
        <v>14308</v>
      </c>
      <c r="G17" s="28"/>
      <c r="H17" s="28"/>
      <c r="I17" s="28">
        <v>14308</v>
      </c>
      <c r="J17" s="29">
        <v>14308</v>
      </c>
      <c r="K17" s="28"/>
      <c r="L17" s="28"/>
      <c r="M17" s="28"/>
      <c r="N17" s="28">
        <v>14308</v>
      </c>
      <c r="O17" s="29">
        <v>8940</v>
      </c>
      <c r="P17" s="29">
        <v>4494</v>
      </c>
      <c r="Q17" s="28"/>
      <c r="R17" s="28"/>
      <c r="S17" s="28"/>
      <c r="T17" s="28"/>
      <c r="U17" s="28"/>
    </row>
    <row r="18" spans="1:21" x14ac:dyDescent="0.35">
      <c r="A18" s="26" t="s">
        <v>161</v>
      </c>
      <c r="B18" s="27" t="s">
        <v>163</v>
      </c>
      <c r="C18" s="36">
        <v>30993</v>
      </c>
      <c r="D18" s="28"/>
      <c r="E18" s="28">
        <v>25009</v>
      </c>
      <c r="F18" s="28">
        <v>25009</v>
      </c>
      <c r="G18" s="28"/>
      <c r="H18" s="28"/>
      <c r="I18" s="28">
        <v>25009</v>
      </c>
      <c r="J18" s="29">
        <v>18924</v>
      </c>
      <c r="K18" s="28"/>
      <c r="L18" s="28"/>
      <c r="M18" s="28"/>
      <c r="N18" s="28">
        <v>30993</v>
      </c>
      <c r="O18" s="29">
        <v>17605</v>
      </c>
      <c r="P18" s="29">
        <v>7314</v>
      </c>
      <c r="Q18" s="28"/>
      <c r="R18" s="28"/>
      <c r="S18" s="28"/>
      <c r="T18" s="28"/>
      <c r="U18" s="28"/>
    </row>
    <row r="19" spans="1:21" x14ac:dyDescent="0.35">
      <c r="A19" s="26" t="s">
        <v>164</v>
      </c>
      <c r="B19" s="27"/>
      <c r="C19" s="36" t="s">
        <v>281</v>
      </c>
      <c r="D19" s="28"/>
      <c r="E19" s="28" t="s">
        <v>363</v>
      </c>
      <c r="F19" s="28" t="s">
        <v>363</v>
      </c>
      <c r="G19" s="28"/>
      <c r="H19" s="28"/>
      <c r="I19" s="28" t="s">
        <v>363</v>
      </c>
      <c r="J19" s="30" t="s">
        <v>325</v>
      </c>
      <c r="K19" s="28"/>
      <c r="L19" s="28"/>
      <c r="M19" s="28"/>
      <c r="N19" s="28" t="s">
        <v>281</v>
      </c>
      <c r="O19" s="31" t="s">
        <v>367</v>
      </c>
      <c r="P19" s="30" t="s">
        <v>368</v>
      </c>
      <c r="Q19" s="28"/>
      <c r="R19" s="28"/>
      <c r="S19" s="28"/>
      <c r="T19" s="28"/>
      <c r="U19" s="28"/>
    </row>
    <row r="20" spans="1:21" x14ac:dyDescent="0.35">
      <c r="A20" s="32" t="s">
        <v>165</v>
      </c>
      <c r="B20" s="37"/>
      <c r="C20" s="36" t="s">
        <v>264</v>
      </c>
      <c r="D20" s="28"/>
      <c r="E20" s="28" t="s">
        <v>264</v>
      </c>
      <c r="F20" s="28" t="s">
        <v>264</v>
      </c>
      <c r="G20" s="28"/>
      <c r="H20" s="28"/>
      <c r="I20" s="28" t="s">
        <v>264</v>
      </c>
      <c r="J20" s="34" t="s">
        <v>264</v>
      </c>
      <c r="K20" s="28"/>
      <c r="L20" s="28"/>
      <c r="M20" s="28"/>
      <c r="N20" s="28" t="s">
        <v>264</v>
      </c>
      <c r="O20" s="34" t="s">
        <v>264</v>
      </c>
      <c r="P20" s="34" t="s">
        <v>264</v>
      </c>
      <c r="Q20" s="28"/>
      <c r="R20" s="28"/>
      <c r="S20" s="28"/>
      <c r="T20" s="28"/>
      <c r="U20" s="28"/>
    </row>
    <row r="21" spans="1:21" x14ac:dyDescent="0.35">
      <c r="A21" s="225" t="s">
        <v>167</v>
      </c>
      <c r="B21" s="63"/>
      <c r="C21" s="105">
        <f>IFERROR(C18-C17,"")</f>
        <v>5984</v>
      </c>
      <c r="D21" s="105">
        <f t="shared" ref="D21:U21" si="1">IFERROR(D18-D17,"")</f>
        <v>0</v>
      </c>
      <c r="E21" s="105">
        <f t="shared" si="1"/>
        <v>10701</v>
      </c>
      <c r="F21" s="105">
        <f t="shared" si="1"/>
        <v>10701</v>
      </c>
      <c r="G21" s="105">
        <f t="shared" si="1"/>
        <v>0</v>
      </c>
      <c r="H21" s="105">
        <f t="shared" si="1"/>
        <v>0</v>
      </c>
      <c r="I21" s="105">
        <f t="shared" si="1"/>
        <v>10701</v>
      </c>
      <c r="J21" s="105">
        <f t="shared" si="1"/>
        <v>4616</v>
      </c>
      <c r="K21" s="105">
        <f t="shared" si="1"/>
        <v>0</v>
      </c>
      <c r="L21" s="105">
        <f t="shared" si="1"/>
        <v>0</v>
      </c>
      <c r="M21" s="105">
        <f t="shared" si="1"/>
        <v>0</v>
      </c>
      <c r="N21" s="105">
        <f t="shared" si="1"/>
        <v>16685</v>
      </c>
      <c r="O21" s="105">
        <f t="shared" si="1"/>
        <v>8665</v>
      </c>
      <c r="P21" s="105">
        <f t="shared" si="1"/>
        <v>2820</v>
      </c>
      <c r="Q21" s="105">
        <f t="shared" si="1"/>
        <v>0</v>
      </c>
      <c r="R21" s="105">
        <f t="shared" si="1"/>
        <v>0</v>
      </c>
      <c r="S21" s="105">
        <f t="shared" si="1"/>
        <v>0</v>
      </c>
      <c r="T21" s="105">
        <f t="shared" si="1"/>
        <v>0</v>
      </c>
      <c r="U21" s="105">
        <f t="shared" si="1"/>
        <v>0</v>
      </c>
    </row>
    <row r="22" spans="1:21" ht="16.399999999999999" customHeight="1" x14ac:dyDescent="0.35">
      <c r="A22" s="65" t="s">
        <v>2</v>
      </c>
      <c r="B22" s="66"/>
      <c r="C22" s="103">
        <f>AVERAGE(C21,C14)</f>
        <v>15496.5</v>
      </c>
      <c r="D22" s="103">
        <f t="shared" ref="D22:U22" si="2">AVERAGE(D21,D14)</f>
        <v>0</v>
      </c>
      <c r="E22" s="103">
        <f t="shared" si="2"/>
        <v>12504.5</v>
      </c>
      <c r="F22" s="103">
        <f t="shared" si="2"/>
        <v>12504.5</v>
      </c>
      <c r="G22" s="103">
        <f t="shared" si="2"/>
        <v>0</v>
      </c>
      <c r="H22" s="103">
        <f t="shared" si="2"/>
        <v>0</v>
      </c>
      <c r="I22" s="103">
        <f t="shared" si="2"/>
        <v>12504.5</v>
      </c>
      <c r="J22" s="103">
        <f t="shared" si="2"/>
        <v>9462</v>
      </c>
      <c r="K22" s="103">
        <f t="shared" si="2"/>
        <v>0</v>
      </c>
      <c r="L22" s="103">
        <f t="shared" si="2"/>
        <v>0</v>
      </c>
      <c r="M22" s="103">
        <f t="shared" si="2"/>
        <v>0</v>
      </c>
      <c r="N22" s="103">
        <f t="shared" si="2"/>
        <v>15496.5</v>
      </c>
      <c r="O22" s="103">
        <f t="shared" si="2"/>
        <v>8802.5</v>
      </c>
      <c r="P22" s="103">
        <f t="shared" si="2"/>
        <v>3657</v>
      </c>
      <c r="Q22" s="103">
        <f t="shared" si="2"/>
        <v>0</v>
      </c>
      <c r="R22" s="103">
        <f t="shared" si="2"/>
        <v>0</v>
      </c>
      <c r="S22" s="103">
        <f t="shared" si="2"/>
        <v>7154</v>
      </c>
      <c r="T22" s="103">
        <f t="shared" si="2"/>
        <v>7154</v>
      </c>
      <c r="U22" s="103">
        <f t="shared" si="2"/>
        <v>0</v>
      </c>
    </row>
    <row r="23" spans="1:21" x14ac:dyDescent="0.35">
      <c r="A23" s="21" t="s">
        <v>159</v>
      </c>
      <c r="B23" s="22"/>
      <c r="C23" s="35" t="s">
        <v>281</v>
      </c>
      <c r="D23" s="25"/>
      <c r="E23" s="25" t="s">
        <v>363</v>
      </c>
      <c r="F23" s="25"/>
      <c r="G23" s="25"/>
      <c r="H23" s="25"/>
      <c r="I23" s="25"/>
      <c r="J23" s="24"/>
      <c r="K23" s="25"/>
      <c r="L23" s="25"/>
      <c r="M23" s="25"/>
      <c r="N23" s="24" t="s">
        <v>281</v>
      </c>
      <c r="O23" s="31" t="s">
        <v>367</v>
      </c>
      <c r="P23" s="30" t="s">
        <v>368</v>
      </c>
      <c r="Q23" s="38"/>
      <c r="R23" s="25"/>
      <c r="S23" s="25"/>
      <c r="T23" s="25"/>
      <c r="U23" s="25"/>
    </row>
    <row r="24" spans="1:21" x14ac:dyDescent="0.35">
      <c r="A24" s="26" t="s">
        <v>161</v>
      </c>
      <c r="B24" s="27" t="s">
        <v>162</v>
      </c>
      <c r="C24" s="36">
        <v>30993</v>
      </c>
      <c r="D24" s="28"/>
      <c r="E24" s="28">
        <v>25009</v>
      </c>
      <c r="F24" s="28"/>
      <c r="G24" s="28"/>
      <c r="H24" s="28"/>
      <c r="I24" s="28"/>
      <c r="J24" s="28"/>
      <c r="K24" s="28"/>
      <c r="L24" s="28"/>
      <c r="M24" s="28"/>
      <c r="N24" s="28">
        <v>30993</v>
      </c>
      <c r="O24" s="29">
        <v>17605</v>
      </c>
      <c r="P24" s="29">
        <v>7314</v>
      </c>
      <c r="Q24" s="28"/>
      <c r="R24" s="28"/>
      <c r="S24" s="28"/>
      <c r="T24" s="28"/>
      <c r="U24" s="28"/>
    </row>
    <row r="25" spans="1:21" x14ac:dyDescent="0.35">
      <c r="A25" s="26" t="s">
        <v>161</v>
      </c>
      <c r="B25" s="27" t="s">
        <v>163</v>
      </c>
      <c r="C25" s="36">
        <v>38603</v>
      </c>
      <c r="D25" s="28"/>
      <c r="E25" s="28">
        <v>30993</v>
      </c>
      <c r="F25" s="28"/>
      <c r="G25" s="28"/>
      <c r="H25" s="28"/>
      <c r="I25" s="28"/>
      <c r="J25" s="28"/>
      <c r="K25" s="28"/>
      <c r="L25" s="28"/>
      <c r="M25" s="28"/>
      <c r="N25" s="28">
        <v>36027</v>
      </c>
      <c r="O25" s="29">
        <v>25009</v>
      </c>
      <c r="P25" s="29">
        <v>13059</v>
      </c>
      <c r="Q25" s="28"/>
      <c r="R25" s="28"/>
      <c r="S25" s="28"/>
      <c r="T25" s="28"/>
      <c r="U25" s="28"/>
    </row>
    <row r="26" spans="1:21" x14ac:dyDescent="0.35">
      <c r="A26" s="26" t="s">
        <v>164</v>
      </c>
      <c r="B26" s="27"/>
      <c r="C26" s="36" t="s">
        <v>243</v>
      </c>
      <c r="D26" s="28"/>
      <c r="E26" s="28" t="s">
        <v>281</v>
      </c>
      <c r="F26" s="28"/>
      <c r="G26" s="28"/>
      <c r="H26" s="28"/>
      <c r="I26" s="28"/>
      <c r="J26" s="39"/>
      <c r="K26" s="28"/>
      <c r="L26" s="28"/>
      <c r="M26" s="28"/>
      <c r="N26" s="28" t="s">
        <v>242</v>
      </c>
      <c r="O26" s="30" t="s">
        <v>363</v>
      </c>
      <c r="P26" s="31" t="s">
        <v>369</v>
      </c>
      <c r="Q26" s="28"/>
      <c r="R26" s="28"/>
      <c r="S26" s="28"/>
      <c r="T26" s="28"/>
      <c r="U26" s="28"/>
    </row>
    <row r="27" spans="1:21" x14ac:dyDescent="0.35">
      <c r="A27" s="32" t="s">
        <v>165</v>
      </c>
      <c r="B27" s="37"/>
      <c r="C27" s="36"/>
      <c r="D27" s="28"/>
      <c r="E27" s="28" t="s">
        <v>264</v>
      </c>
      <c r="F27" s="28"/>
      <c r="G27" s="28"/>
      <c r="H27" s="28"/>
      <c r="I27" s="28"/>
      <c r="J27" s="28"/>
      <c r="K27" s="28"/>
      <c r="L27" s="28"/>
      <c r="M27" s="28"/>
      <c r="N27" s="28"/>
      <c r="O27" s="34" t="s">
        <v>264</v>
      </c>
      <c r="P27" s="34" t="s">
        <v>264</v>
      </c>
      <c r="Q27" s="28"/>
      <c r="R27" s="28"/>
      <c r="S27" s="28"/>
      <c r="T27" s="28"/>
      <c r="U27" s="28"/>
    </row>
    <row r="28" spans="1:21" x14ac:dyDescent="0.35">
      <c r="A28" s="225" t="s">
        <v>167</v>
      </c>
      <c r="B28" s="63"/>
      <c r="C28" s="105">
        <f>IFERROR(C25-C24,"")</f>
        <v>7610</v>
      </c>
      <c r="D28" s="105">
        <f t="shared" ref="D28:U28" si="3">IFERROR(D25-D24,"")</f>
        <v>0</v>
      </c>
      <c r="E28" s="105">
        <f t="shared" si="3"/>
        <v>5984</v>
      </c>
      <c r="F28" s="105">
        <f t="shared" si="3"/>
        <v>0</v>
      </c>
      <c r="G28" s="105">
        <f t="shared" si="3"/>
        <v>0</v>
      </c>
      <c r="H28" s="105">
        <f t="shared" si="3"/>
        <v>0</v>
      </c>
      <c r="I28" s="105">
        <f t="shared" si="3"/>
        <v>0</v>
      </c>
      <c r="J28" s="105">
        <f t="shared" si="3"/>
        <v>0</v>
      </c>
      <c r="K28" s="105">
        <f t="shared" si="3"/>
        <v>0</v>
      </c>
      <c r="L28" s="105">
        <f t="shared" si="3"/>
        <v>0</v>
      </c>
      <c r="M28" s="105">
        <f t="shared" si="3"/>
        <v>0</v>
      </c>
      <c r="N28" s="105">
        <f t="shared" si="3"/>
        <v>5034</v>
      </c>
      <c r="O28" s="105">
        <f t="shared" si="3"/>
        <v>7404</v>
      </c>
      <c r="P28" s="105">
        <f t="shared" si="3"/>
        <v>5745</v>
      </c>
      <c r="Q28" s="105">
        <f t="shared" si="3"/>
        <v>0</v>
      </c>
      <c r="R28" s="105">
        <f t="shared" si="3"/>
        <v>0</v>
      </c>
      <c r="S28" s="105">
        <f t="shared" si="3"/>
        <v>0</v>
      </c>
      <c r="T28" s="105">
        <f t="shared" si="3"/>
        <v>0</v>
      </c>
      <c r="U28" s="105">
        <f t="shared" si="3"/>
        <v>0</v>
      </c>
    </row>
    <row r="29" spans="1:21" ht="16.399999999999999" customHeight="1" x14ac:dyDescent="0.35">
      <c r="A29" s="65" t="s">
        <v>2</v>
      </c>
      <c r="B29" s="66"/>
      <c r="C29" s="103">
        <f>AVERAGE(C28,C21,C14)</f>
        <v>12867.666666666666</v>
      </c>
      <c r="D29" s="103">
        <f t="shared" ref="D29:U29" si="4">AVERAGE(D28,D21,D14)</f>
        <v>0</v>
      </c>
      <c r="E29" s="103">
        <f t="shared" si="4"/>
        <v>10331</v>
      </c>
      <c r="F29" s="103">
        <f t="shared" si="4"/>
        <v>8336.3333333333339</v>
      </c>
      <c r="G29" s="103">
        <f t="shared" si="4"/>
        <v>0</v>
      </c>
      <c r="H29" s="103">
        <f t="shared" si="4"/>
        <v>0</v>
      </c>
      <c r="I29" s="103">
        <f t="shared" si="4"/>
        <v>8336.3333333333339</v>
      </c>
      <c r="J29" s="103">
        <f t="shared" si="4"/>
        <v>6308</v>
      </c>
      <c r="K29" s="103">
        <f t="shared" si="4"/>
        <v>0</v>
      </c>
      <c r="L29" s="103">
        <f t="shared" si="4"/>
        <v>0</v>
      </c>
      <c r="M29" s="103">
        <f t="shared" si="4"/>
        <v>0</v>
      </c>
      <c r="N29" s="103">
        <f t="shared" si="4"/>
        <v>12009</v>
      </c>
      <c r="O29" s="103">
        <f t="shared" si="4"/>
        <v>8336.3333333333339</v>
      </c>
      <c r="P29" s="103">
        <f t="shared" si="4"/>
        <v>4353</v>
      </c>
      <c r="Q29" s="103">
        <f t="shared" si="4"/>
        <v>0</v>
      </c>
      <c r="R29" s="103">
        <f t="shared" si="4"/>
        <v>0</v>
      </c>
      <c r="S29" s="103">
        <f t="shared" si="4"/>
        <v>4769.333333333333</v>
      </c>
      <c r="T29" s="103">
        <f t="shared" si="4"/>
        <v>4769.333333333333</v>
      </c>
      <c r="U29" s="103">
        <f t="shared" si="4"/>
        <v>0</v>
      </c>
    </row>
    <row r="30" spans="1:21" x14ac:dyDescent="0.35">
      <c r="A30" s="21" t="s">
        <v>159</v>
      </c>
      <c r="B30" s="22"/>
      <c r="C30" s="35"/>
      <c r="D30" s="25"/>
      <c r="E30" s="25" t="s">
        <v>281</v>
      </c>
      <c r="F30" s="25"/>
      <c r="G30" s="25"/>
      <c r="H30" s="25"/>
      <c r="I30" s="25"/>
      <c r="J30" s="24"/>
      <c r="K30" s="25"/>
      <c r="L30" s="25"/>
      <c r="M30" s="25"/>
      <c r="N30" s="24" t="s">
        <v>242</v>
      </c>
      <c r="O30" s="30" t="s">
        <v>363</v>
      </c>
      <c r="P30" s="31" t="s">
        <v>369</v>
      </c>
      <c r="Q30" s="25"/>
      <c r="R30" s="25"/>
      <c r="S30" s="25"/>
      <c r="T30" s="25"/>
      <c r="U30" s="25"/>
    </row>
    <row r="31" spans="1:21" x14ac:dyDescent="0.35">
      <c r="A31" s="26" t="s">
        <v>161</v>
      </c>
      <c r="B31" s="27" t="s">
        <v>162</v>
      </c>
      <c r="C31" s="36"/>
      <c r="D31" s="28"/>
      <c r="E31" s="28">
        <v>30993</v>
      </c>
      <c r="F31" s="28"/>
      <c r="G31" s="28"/>
      <c r="H31" s="28"/>
      <c r="I31" s="28"/>
      <c r="J31" s="28"/>
      <c r="K31" s="28"/>
      <c r="L31" s="28"/>
      <c r="M31" s="28"/>
      <c r="N31" s="28">
        <v>36027</v>
      </c>
      <c r="O31" s="29">
        <v>25009</v>
      </c>
      <c r="P31" s="29">
        <v>13059</v>
      </c>
      <c r="Q31" s="28"/>
      <c r="R31" s="28"/>
      <c r="S31" s="28"/>
      <c r="T31" s="28"/>
      <c r="U31" s="28"/>
    </row>
    <row r="32" spans="1:21" x14ac:dyDescent="0.35">
      <c r="A32" s="26" t="s">
        <v>161</v>
      </c>
      <c r="B32" s="27" t="s">
        <v>163</v>
      </c>
      <c r="C32" s="36"/>
      <c r="D32" s="28"/>
      <c r="E32" s="28">
        <v>38603</v>
      </c>
      <c r="F32" s="28"/>
      <c r="G32" s="28"/>
      <c r="H32" s="28"/>
      <c r="I32" s="28"/>
      <c r="J32" s="28"/>
      <c r="K32" s="28"/>
      <c r="L32" s="28"/>
      <c r="M32" s="28"/>
      <c r="N32" s="28">
        <v>38603</v>
      </c>
      <c r="O32" s="29">
        <v>30343</v>
      </c>
      <c r="P32" s="29">
        <v>18924</v>
      </c>
      <c r="Q32" s="28"/>
      <c r="R32" s="28"/>
      <c r="S32" s="28"/>
      <c r="T32" s="28"/>
      <c r="U32" s="28"/>
    </row>
    <row r="33" spans="1:21" x14ac:dyDescent="0.35">
      <c r="A33" s="26" t="s">
        <v>164</v>
      </c>
      <c r="B33" s="27"/>
      <c r="C33" s="36"/>
      <c r="D33" s="28"/>
      <c r="E33" s="28" t="s">
        <v>243</v>
      </c>
      <c r="F33" s="28"/>
      <c r="G33" s="28"/>
      <c r="H33" s="28"/>
      <c r="I33" s="28"/>
      <c r="J33" s="39"/>
      <c r="K33" s="28"/>
      <c r="L33" s="28"/>
      <c r="M33" s="28"/>
      <c r="N33" s="28" t="s">
        <v>244</v>
      </c>
      <c r="O33" s="31" t="s">
        <v>265</v>
      </c>
      <c r="P33" s="30" t="s">
        <v>325</v>
      </c>
      <c r="Q33" s="28"/>
      <c r="R33" s="28"/>
      <c r="S33" s="28"/>
      <c r="T33" s="28"/>
      <c r="U33" s="28"/>
    </row>
    <row r="34" spans="1:21" x14ac:dyDescent="0.35">
      <c r="A34" s="32" t="s">
        <v>165</v>
      </c>
      <c r="B34" s="37"/>
      <c r="C34" s="36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34" t="s">
        <v>264</v>
      </c>
      <c r="P34" s="34" t="s">
        <v>264</v>
      </c>
      <c r="Q34" s="28"/>
      <c r="R34" s="28"/>
      <c r="S34" s="28"/>
      <c r="T34" s="28"/>
      <c r="U34" s="28"/>
    </row>
    <row r="35" spans="1:21" x14ac:dyDescent="0.35">
      <c r="A35" s="225" t="s">
        <v>167</v>
      </c>
      <c r="B35" s="63"/>
      <c r="C35" s="105">
        <f>IFERROR(C32-C31,"")</f>
        <v>0</v>
      </c>
      <c r="D35" s="105">
        <f t="shared" ref="D35:U35" si="5">IFERROR(D32-D31,"")</f>
        <v>0</v>
      </c>
      <c r="E35" s="105">
        <f t="shared" si="5"/>
        <v>7610</v>
      </c>
      <c r="F35" s="105">
        <f t="shared" si="5"/>
        <v>0</v>
      </c>
      <c r="G35" s="105">
        <f t="shared" si="5"/>
        <v>0</v>
      </c>
      <c r="H35" s="105">
        <f t="shared" si="5"/>
        <v>0</v>
      </c>
      <c r="I35" s="105">
        <f t="shared" si="5"/>
        <v>0</v>
      </c>
      <c r="J35" s="105">
        <f t="shared" si="5"/>
        <v>0</v>
      </c>
      <c r="K35" s="105">
        <f t="shared" si="5"/>
        <v>0</v>
      </c>
      <c r="L35" s="105">
        <f t="shared" si="5"/>
        <v>0</v>
      </c>
      <c r="M35" s="105">
        <f t="shared" si="5"/>
        <v>0</v>
      </c>
      <c r="N35" s="105">
        <f t="shared" si="5"/>
        <v>2576</v>
      </c>
      <c r="O35" s="105">
        <f t="shared" si="5"/>
        <v>5334</v>
      </c>
      <c r="P35" s="105">
        <f t="shared" si="5"/>
        <v>5865</v>
      </c>
      <c r="Q35" s="105">
        <f t="shared" si="5"/>
        <v>0</v>
      </c>
      <c r="R35" s="105">
        <f t="shared" si="5"/>
        <v>0</v>
      </c>
      <c r="S35" s="105">
        <f t="shared" si="5"/>
        <v>0</v>
      </c>
      <c r="T35" s="105">
        <f t="shared" si="5"/>
        <v>0</v>
      </c>
      <c r="U35" s="105">
        <f t="shared" si="5"/>
        <v>0</v>
      </c>
    </row>
    <row r="36" spans="1:21" ht="16.399999999999999" customHeight="1" x14ac:dyDescent="0.35">
      <c r="A36" s="65" t="s">
        <v>2</v>
      </c>
      <c r="B36" s="66"/>
      <c r="C36" s="103">
        <f>AVERAGE(C35,C28,C21,C14)</f>
        <v>9650.75</v>
      </c>
      <c r="D36" s="103">
        <f t="shared" ref="D36:U36" si="6">AVERAGE(D35,D28,D21,D14)</f>
        <v>0</v>
      </c>
      <c r="E36" s="103">
        <f t="shared" si="6"/>
        <v>9650.75</v>
      </c>
      <c r="F36" s="103">
        <f t="shared" si="6"/>
        <v>6252.25</v>
      </c>
      <c r="G36" s="103">
        <f t="shared" si="6"/>
        <v>0</v>
      </c>
      <c r="H36" s="103">
        <f t="shared" si="6"/>
        <v>0</v>
      </c>
      <c r="I36" s="103">
        <f t="shared" si="6"/>
        <v>6252.25</v>
      </c>
      <c r="J36" s="103">
        <f t="shared" si="6"/>
        <v>4731</v>
      </c>
      <c r="K36" s="103">
        <f t="shared" si="6"/>
        <v>0</v>
      </c>
      <c r="L36" s="103">
        <f t="shared" si="6"/>
        <v>0</v>
      </c>
      <c r="M36" s="103">
        <f t="shared" si="6"/>
        <v>0</v>
      </c>
      <c r="N36" s="103">
        <f t="shared" si="6"/>
        <v>9650.75</v>
      </c>
      <c r="O36" s="103">
        <f t="shared" si="6"/>
        <v>7585.75</v>
      </c>
      <c r="P36" s="103">
        <f t="shared" si="6"/>
        <v>4731</v>
      </c>
      <c r="Q36" s="103">
        <f t="shared" si="6"/>
        <v>0</v>
      </c>
      <c r="R36" s="103">
        <f t="shared" si="6"/>
        <v>0</v>
      </c>
      <c r="S36" s="103">
        <f t="shared" si="6"/>
        <v>3577</v>
      </c>
      <c r="T36" s="103">
        <f t="shared" si="6"/>
        <v>3577</v>
      </c>
      <c r="U36" s="103">
        <f t="shared" si="6"/>
        <v>0</v>
      </c>
    </row>
    <row r="37" spans="1:21" x14ac:dyDescent="0.35">
      <c r="A37" s="21" t="s">
        <v>159</v>
      </c>
      <c r="B37" s="22"/>
      <c r="C37" s="35"/>
      <c r="D37" s="25"/>
      <c r="E37" s="25"/>
      <c r="F37" s="25"/>
      <c r="G37" s="25"/>
      <c r="H37" s="25"/>
      <c r="I37" s="25"/>
      <c r="J37" s="24"/>
      <c r="K37" s="25"/>
      <c r="L37" s="25"/>
      <c r="M37" s="25"/>
      <c r="N37" s="24"/>
      <c r="O37" s="31" t="s">
        <v>265</v>
      </c>
      <c r="P37" s="30" t="s">
        <v>325</v>
      </c>
      <c r="Q37" s="25"/>
      <c r="R37" s="25"/>
      <c r="S37" s="25"/>
      <c r="T37" s="25"/>
      <c r="U37" s="25"/>
    </row>
    <row r="38" spans="1:21" x14ac:dyDescent="0.35">
      <c r="A38" s="26" t="s">
        <v>161</v>
      </c>
      <c r="B38" s="27" t="s">
        <v>162</v>
      </c>
      <c r="C38" s="36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9">
        <v>30343</v>
      </c>
      <c r="P38" s="29">
        <v>18924</v>
      </c>
      <c r="Q38" s="28"/>
      <c r="R38" s="28"/>
      <c r="S38" s="28"/>
      <c r="T38" s="28"/>
      <c r="U38" s="28"/>
    </row>
    <row r="39" spans="1:21" x14ac:dyDescent="0.35">
      <c r="A39" s="26" t="s">
        <v>161</v>
      </c>
      <c r="B39" s="27" t="s">
        <v>163</v>
      </c>
      <c r="C39" s="36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9">
        <v>30993</v>
      </c>
      <c r="P39" s="29">
        <v>25009</v>
      </c>
      <c r="Q39" s="28"/>
      <c r="R39" s="28"/>
      <c r="S39" s="28"/>
      <c r="T39" s="28"/>
      <c r="U39" s="28"/>
    </row>
    <row r="40" spans="1:21" x14ac:dyDescent="0.35">
      <c r="A40" s="26" t="s">
        <v>164</v>
      </c>
      <c r="B40" s="27"/>
      <c r="C40" s="36"/>
      <c r="D40" s="28"/>
      <c r="E40" s="28"/>
      <c r="F40" s="28"/>
      <c r="G40" s="28"/>
      <c r="H40" s="28"/>
      <c r="I40" s="28"/>
      <c r="J40" s="39"/>
      <c r="K40" s="28"/>
      <c r="L40" s="28"/>
      <c r="M40" s="28"/>
      <c r="N40" s="28"/>
      <c r="O40" s="31" t="s">
        <v>281</v>
      </c>
      <c r="P40" s="30" t="s">
        <v>363</v>
      </c>
      <c r="Q40" s="28"/>
      <c r="R40" s="28"/>
      <c r="S40" s="28"/>
      <c r="T40" s="28"/>
      <c r="U40" s="28"/>
    </row>
    <row r="41" spans="1:21" x14ac:dyDescent="0.35">
      <c r="A41" s="32" t="s">
        <v>165</v>
      </c>
      <c r="B41" s="37"/>
      <c r="C41" s="36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34" t="s">
        <v>264</v>
      </c>
      <c r="P41" s="34" t="s">
        <v>264</v>
      </c>
      <c r="Q41" s="28"/>
      <c r="R41" s="28"/>
      <c r="S41" s="28"/>
      <c r="T41" s="28"/>
      <c r="U41" s="28"/>
    </row>
    <row r="42" spans="1:21" x14ac:dyDescent="0.35">
      <c r="A42" s="225" t="s">
        <v>167</v>
      </c>
      <c r="B42" s="63"/>
      <c r="C42" s="105">
        <f>IFERROR(C39-C38,"")</f>
        <v>0</v>
      </c>
      <c r="D42" s="105">
        <f t="shared" ref="D42:U42" si="7">IFERROR(D39-D38,"")</f>
        <v>0</v>
      </c>
      <c r="E42" s="105">
        <f t="shared" si="7"/>
        <v>0</v>
      </c>
      <c r="F42" s="105">
        <f t="shared" si="7"/>
        <v>0</v>
      </c>
      <c r="G42" s="105">
        <f t="shared" si="7"/>
        <v>0</v>
      </c>
      <c r="H42" s="105">
        <f t="shared" si="7"/>
        <v>0</v>
      </c>
      <c r="I42" s="105">
        <f t="shared" si="7"/>
        <v>0</v>
      </c>
      <c r="J42" s="105">
        <f t="shared" si="7"/>
        <v>0</v>
      </c>
      <c r="K42" s="105">
        <f t="shared" si="7"/>
        <v>0</v>
      </c>
      <c r="L42" s="105">
        <f t="shared" si="7"/>
        <v>0</v>
      </c>
      <c r="M42" s="105">
        <f t="shared" si="7"/>
        <v>0</v>
      </c>
      <c r="N42" s="105">
        <f t="shared" si="7"/>
        <v>0</v>
      </c>
      <c r="O42" s="105">
        <f t="shared" si="7"/>
        <v>650</v>
      </c>
      <c r="P42" s="105">
        <f t="shared" si="7"/>
        <v>6085</v>
      </c>
      <c r="Q42" s="105">
        <f t="shared" si="7"/>
        <v>0</v>
      </c>
      <c r="R42" s="105">
        <f t="shared" si="7"/>
        <v>0</v>
      </c>
      <c r="S42" s="105">
        <f t="shared" si="7"/>
        <v>0</v>
      </c>
      <c r="T42" s="105">
        <f t="shared" si="7"/>
        <v>0</v>
      </c>
      <c r="U42" s="105">
        <f t="shared" si="7"/>
        <v>0</v>
      </c>
    </row>
    <row r="43" spans="1:21" ht="16.399999999999999" customHeight="1" x14ac:dyDescent="0.35">
      <c r="A43" s="65" t="s">
        <v>2</v>
      </c>
      <c r="B43" s="66"/>
      <c r="C43" s="103">
        <f>AVERAGE(C42,C35,C28,C21,C14)</f>
        <v>7720.6</v>
      </c>
      <c r="D43" s="103">
        <f t="shared" ref="D43:U43" si="8">AVERAGE(D42,D35,D28,D21,D14)</f>
        <v>0</v>
      </c>
      <c r="E43" s="103">
        <f t="shared" si="8"/>
        <v>7720.6</v>
      </c>
      <c r="F43" s="103">
        <f t="shared" si="8"/>
        <v>5001.8</v>
      </c>
      <c r="G43" s="103">
        <f t="shared" si="8"/>
        <v>0</v>
      </c>
      <c r="H43" s="103">
        <f t="shared" si="8"/>
        <v>0</v>
      </c>
      <c r="I43" s="103">
        <f t="shared" si="8"/>
        <v>5001.8</v>
      </c>
      <c r="J43" s="103">
        <f t="shared" si="8"/>
        <v>3784.8</v>
      </c>
      <c r="K43" s="103">
        <f t="shared" si="8"/>
        <v>0</v>
      </c>
      <c r="L43" s="103">
        <f t="shared" si="8"/>
        <v>0</v>
      </c>
      <c r="M43" s="103">
        <f t="shared" si="8"/>
        <v>0</v>
      </c>
      <c r="N43" s="103">
        <f t="shared" si="8"/>
        <v>7720.6</v>
      </c>
      <c r="O43" s="103">
        <f t="shared" si="8"/>
        <v>6198.6</v>
      </c>
      <c r="P43" s="103">
        <f t="shared" si="8"/>
        <v>5001.8</v>
      </c>
      <c r="Q43" s="103">
        <f t="shared" si="8"/>
        <v>0</v>
      </c>
      <c r="R43" s="103">
        <f t="shared" si="8"/>
        <v>0</v>
      </c>
      <c r="S43" s="103">
        <f t="shared" si="8"/>
        <v>2861.6</v>
      </c>
      <c r="T43" s="103">
        <f t="shared" si="8"/>
        <v>2861.6</v>
      </c>
      <c r="U43" s="103">
        <f t="shared" si="8"/>
        <v>0</v>
      </c>
    </row>
    <row r="44" spans="1:21" x14ac:dyDescent="0.35">
      <c r="A44" s="21" t="s">
        <v>159</v>
      </c>
      <c r="B44" s="22"/>
      <c r="C44" s="35"/>
      <c r="D44" s="25"/>
      <c r="E44" s="25"/>
      <c r="F44" s="25"/>
      <c r="G44" s="25"/>
      <c r="H44" s="25"/>
      <c r="I44" s="25"/>
      <c r="J44" s="24"/>
      <c r="K44" s="25"/>
      <c r="L44" s="25"/>
      <c r="M44" s="25"/>
      <c r="N44" s="24"/>
      <c r="O44" s="31" t="s">
        <v>281</v>
      </c>
      <c r="P44" s="25" t="s">
        <v>363</v>
      </c>
      <c r="Q44" s="25"/>
      <c r="R44" s="25"/>
      <c r="S44" s="25"/>
      <c r="T44" s="25"/>
      <c r="U44" s="25"/>
    </row>
    <row r="45" spans="1:21" x14ac:dyDescent="0.35">
      <c r="A45" s="26" t="s">
        <v>161</v>
      </c>
      <c r="B45" s="27" t="s">
        <v>162</v>
      </c>
      <c r="C45" s="36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9">
        <v>30993</v>
      </c>
      <c r="P45" s="28">
        <v>25009</v>
      </c>
      <c r="Q45" s="28"/>
      <c r="R45" s="28"/>
      <c r="S45" s="28"/>
      <c r="T45" s="28"/>
      <c r="U45" s="28"/>
    </row>
    <row r="46" spans="1:21" x14ac:dyDescent="0.35">
      <c r="A46" s="26" t="s">
        <v>161</v>
      </c>
      <c r="B46" s="27" t="s">
        <v>163</v>
      </c>
      <c r="C46" s="36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9">
        <v>33534</v>
      </c>
      <c r="P46" s="29">
        <v>30993</v>
      </c>
      <c r="Q46" s="28"/>
      <c r="R46" s="28"/>
      <c r="S46" s="28"/>
      <c r="T46" s="28"/>
      <c r="U46" s="28"/>
    </row>
    <row r="47" spans="1:21" x14ac:dyDescent="0.35">
      <c r="A47" s="26" t="s">
        <v>164</v>
      </c>
      <c r="B47" s="27"/>
      <c r="C47" s="36"/>
      <c r="D47" s="28"/>
      <c r="E47" s="28"/>
      <c r="F47" s="28"/>
      <c r="G47" s="28"/>
      <c r="H47" s="28"/>
      <c r="I47" s="28"/>
      <c r="J47" s="39"/>
      <c r="K47" s="28"/>
      <c r="L47" s="28"/>
      <c r="M47" s="28"/>
      <c r="N47" s="28"/>
      <c r="O47" s="30" t="s">
        <v>370</v>
      </c>
      <c r="P47" s="28" t="s">
        <v>281</v>
      </c>
      <c r="Q47" s="28"/>
      <c r="R47" s="28"/>
      <c r="S47" s="28"/>
      <c r="T47" s="28"/>
      <c r="U47" s="28"/>
    </row>
    <row r="48" spans="1:21" x14ac:dyDescent="0.35">
      <c r="A48" s="32" t="s">
        <v>165</v>
      </c>
      <c r="B48" s="37"/>
      <c r="C48" s="36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34"/>
      <c r="P48" s="28" t="s">
        <v>264</v>
      </c>
      <c r="Q48" s="28"/>
      <c r="R48" s="28"/>
      <c r="S48" s="28"/>
      <c r="T48" s="28"/>
      <c r="U48" s="28"/>
    </row>
    <row r="49" spans="1:21" x14ac:dyDescent="0.35">
      <c r="A49" s="225" t="s">
        <v>167</v>
      </c>
      <c r="B49" s="63"/>
      <c r="C49" s="105">
        <f>IFERROR(C46-C45,"")</f>
        <v>0</v>
      </c>
      <c r="D49" s="105">
        <f t="shared" ref="D49:U49" si="9">IFERROR(D46-D45,"")</f>
        <v>0</v>
      </c>
      <c r="E49" s="105">
        <f t="shared" si="9"/>
        <v>0</v>
      </c>
      <c r="F49" s="105">
        <f t="shared" si="9"/>
        <v>0</v>
      </c>
      <c r="G49" s="105">
        <f t="shared" si="9"/>
        <v>0</v>
      </c>
      <c r="H49" s="105">
        <f t="shared" si="9"/>
        <v>0</v>
      </c>
      <c r="I49" s="105">
        <f t="shared" si="9"/>
        <v>0</v>
      </c>
      <c r="J49" s="105">
        <f t="shared" si="9"/>
        <v>0</v>
      </c>
      <c r="K49" s="105">
        <f t="shared" si="9"/>
        <v>0</v>
      </c>
      <c r="L49" s="105">
        <f t="shared" si="9"/>
        <v>0</v>
      </c>
      <c r="M49" s="105">
        <f t="shared" si="9"/>
        <v>0</v>
      </c>
      <c r="N49" s="105">
        <f t="shared" si="9"/>
        <v>0</v>
      </c>
      <c r="O49" s="105">
        <f t="shared" si="9"/>
        <v>2541</v>
      </c>
      <c r="P49" s="105">
        <f t="shared" si="9"/>
        <v>5984</v>
      </c>
      <c r="Q49" s="105">
        <f t="shared" si="9"/>
        <v>0</v>
      </c>
      <c r="R49" s="105">
        <f t="shared" si="9"/>
        <v>0</v>
      </c>
      <c r="S49" s="105">
        <f t="shared" si="9"/>
        <v>0</v>
      </c>
      <c r="T49" s="105">
        <f t="shared" si="9"/>
        <v>0</v>
      </c>
      <c r="U49" s="105">
        <f t="shared" si="9"/>
        <v>0</v>
      </c>
    </row>
    <row r="50" spans="1:21" ht="16.399999999999999" customHeight="1" x14ac:dyDescent="0.35">
      <c r="A50" s="65" t="s">
        <v>2</v>
      </c>
      <c r="B50" s="66"/>
      <c r="C50" s="103">
        <f>AVERAGE(C49,C42,C35,C28,C21,C14)</f>
        <v>6433.833333333333</v>
      </c>
      <c r="D50" s="103">
        <f t="shared" ref="D50:U50" si="10">AVERAGE(D49,D42,D35,D28,D21,D14)</f>
        <v>0</v>
      </c>
      <c r="E50" s="103">
        <f t="shared" si="10"/>
        <v>6433.833333333333</v>
      </c>
      <c r="F50" s="103">
        <f t="shared" si="10"/>
        <v>4168.166666666667</v>
      </c>
      <c r="G50" s="103">
        <f t="shared" si="10"/>
        <v>0</v>
      </c>
      <c r="H50" s="103">
        <f t="shared" si="10"/>
        <v>0</v>
      </c>
      <c r="I50" s="103">
        <f t="shared" si="10"/>
        <v>4168.166666666667</v>
      </c>
      <c r="J50" s="103">
        <f t="shared" si="10"/>
        <v>3154</v>
      </c>
      <c r="K50" s="103">
        <f t="shared" si="10"/>
        <v>0</v>
      </c>
      <c r="L50" s="103">
        <f t="shared" si="10"/>
        <v>0</v>
      </c>
      <c r="M50" s="103">
        <f t="shared" si="10"/>
        <v>0</v>
      </c>
      <c r="N50" s="103">
        <f t="shared" si="10"/>
        <v>6433.833333333333</v>
      </c>
      <c r="O50" s="103">
        <f t="shared" si="10"/>
        <v>5589</v>
      </c>
      <c r="P50" s="103">
        <f t="shared" si="10"/>
        <v>5165.5</v>
      </c>
      <c r="Q50" s="103">
        <f t="shared" si="10"/>
        <v>0</v>
      </c>
      <c r="R50" s="103">
        <f t="shared" si="10"/>
        <v>0</v>
      </c>
      <c r="S50" s="103">
        <f t="shared" si="10"/>
        <v>2384.6666666666665</v>
      </c>
      <c r="T50" s="103">
        <f t="shared" si="10"/>
        <v>2384.6666666666665</v>
      </c>
      <c r="U50" s="103">
        <f t="shared" si="10"/>
        <v>0</v>
      </c>
    </row>
    <row r="51" spans="1:21" x14ac:dyDescent="0.35">
      <c r="A51" s="21" t="s">
        <v>159</v>
      </c>
      <c r="B51" s="22"/>
      <c r="C51" s="35"/>
      <c r="D51" s="25"/>
      <c r="E51" s="25"/>
      <c r="F51" s="25"/>
      <c r="G51" s="25"/>
      <c r="H51" s="25"/>
      <c r="I51" s="25"/>
      <c r="J51" s="24"/>
      <c r="K51" s="25"/>
      <c r="L51" s="25"/>
      <c r="M51" s="25"/>
      <c r="N51" s="24"/>
      <c r="O51" s="30" t="s">
        <v>370</v>
      </c>
      <c r="P51" s="25" t="s">
        <v>281</v>
      </c>
      <c r="Q51" s="25"/>
      <c r="R51" s="25"/>
      <c r="S51" s="25"/>
      <c r="T51" s="25"/>
      <c r="U51" s="25"/>
    </row>
    <row r="52" spans="1:21" x14ac:dyDescent="0.35">
      <c r="A52" s="26" t="s">
        <v>161</v>
      </c>
      <c r="B52" s="27" t="s">
        <v>162</v>
      </c>
      <c r="C52" s="36"/>
      <c r="D52" s="28"/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9">
        <v>33534</v>
      </c>
      <c r="P52" s="28">
        <v>30993</v>
      </c>
      <c r="Q52" s="28"/>
      <c r="R52" s="28"/>
      <c r="S52" s="28"/>
      <c r="T52" s="28"/>
      <c r="U52" s="28"/>
    </row>
    <row r="53" spans="1:21" x14ac:dyDescent="0.35">
      <c r="A53" s="26" t="s">
        <v>161</v>
      </c>
      <c r="B53" s="27" t="s">
        <v>163</v>
      </c>
      <c r="C53" s="36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9">
        <v>38603</v>
      </c>
      <c r="P53" s="28">
        <v>33534</v>
      </c>
      <c r="Q53" s="28"/>
      <c r="R53" s="28"/>
      <c r="S53" s="28"/>
      <c r="T53" s="28"/>
      <c r="U53" s="28"/>
    </row>
    <row r="54" spans="1:21" x14ac:dyDescent="0.35">
      <c r="A54" s="26" t="s">
        <v>164</v>
      </c>
      <c r="B54" s="27"/>
      <c r="C54" s="36"/>
      <c r="D54" s="28"/>
      <c r="E54" s="28"/>
      <c r="F54" s="28"/>
      <c r="G54" s="28"/>
      <c r="H54" s="28"/>
      <c r="I54" s="28"/>
      <c r="J54" s="39"/>
      <c r="K54" s="28"/>
      <c r="L54" s="28"/>
      <c r="M54" s="28"/>
      <c r="N54" s="28"/>
      <c r="O54" s="30" t="s">
        <v>243</v>
      </c>
      <c r="P54" s="28" t="s">
        <v>370</v>
      </c>
      <c r="Q54" s="28"/>
      <c r="R54" s="28"/>
      <c r="S54" s="28"/>
      <c r="T54" s="28"/>
      <c r="U54" s="28"/>
    </row>
    <row r="55" spans="1:21" x14ac:dyDescent="0.35">
      <c r="A55" s="32" t="s">
        <v>165</v>
      </c>
      <c r="B55" s="37"/>
      <c r="C55" s="36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34"/>
      <c r="P55" s="28"/>
      <c r="Q55" s="28"/>
      <c r="R55" s="28"/>
      <c r="S55" s="28"/>
      <c r="T55" s="28"/>
      <c r="U55" s="28"/>
    </row>
    <row r="56" spans="1:21" x14ac:dyDescent="0.35">
      <c r="A56" s="225" t="s">
        <v>167</v>
      </c>
      <c r="B56" s="63"/>
      <c r="C56" s="105">
        <f>IFERROR(C53-C52,"")</f>
        <v>0</v>
      </c>
      <c r="D56" s="105">
        <f t="shared" ref="D56:U56" si="11">IFERROR(D53-D52,"")</f>
        <v>0</v>
      </c>
      <c r="E56" s="105">
        <f t="shared" si="11"/>
        <v>0</v>
      </c>
      <c r="F56" s="105">
        <f t="shared" si="11"/>
        <v>0</v>
      </c>
      <c r="G56" s="105">
        <f t="shared" si="11"/>
        <v>0</v>
      </c>
      <c r="H56" s="105">
        <f t="shared" si="11"/>
        <v>0</v>
      </c>
      <c r="I56" s="105">
        <f t="shared" si="11"/>
        <v>0</v>
      </c>
      <c r="J56" s="105">
        <f t="shared" si="11"/>
        <v>0</v>
      </c>
      <c r="K56" s="105">
        <f t="shared" si="11"/>
        <v>0</v>
      </c>
      <c r="L56" s="105">
        <f t="shared" si="11"/>
        <v>0</v>
      </c>
      <c r="M56" s="105">
        <f t="shared" si="11"/>
        <v>0</v>
      </c>
      <c r="N56" s="105">
        <f t="shared" si="11"/>
        <v>0</v>
      </c>
      <c r="O56" s="105">
        <f t="shared" si="11"/>
        <v>5069</v>
      </c>
      <c r="P56" s="105">
        <f t="shared" si="11"/>
        <v>2541</v>
      </c>
      <c r="Q56" s="105">
        <f t="shared" si="11"/>
        <v>0</v>
      </c>
      <c r="R56" s="105">
        <f t="shared" si="11"/>
        <v>0</v>
      </c>
      <c r="S56" s="105">
        <f t="shared" si="11"/>
        <v>0</v>
      </c>
      <c r="T56" s="105">
        <f t="shared" si="11"/>
        <v>0</v>
      </c>
      <c r="U56" s="105">
        <f t="shared" si="11"/>
        <v>0</v>
      </c>
    </row>
    <row r="57" spans="1:21" ht="16.399999999999999" customHeight="1" x14ac:dyDescent="0.35">
      <c r="A57" s="65" t="s">
        <v>2</v>
      </c>
      <c r="B57" s="66"/>
      <c r="C57" s="103">
        <f>AVERAGE(C56,C49,C42,C35,C28,C21,C14)</f>
        <v>5514.7142857142853</v>
      </c>
      <c r="D57" s="103">
        <f t="shared" ref="D57:U57" si="12">AVERAGE(D56,D49,D42,D35,D28,D21,D14)</f>
        <v>0</v>
      </c>
      <c r="E57" s="103">
        <f t="shared" si="12"/>
        <v>5514.7142857142853</v>
      </c>
      <c r="F57" s="103">
        <f t="shared" si="12"/>
        <v>3572.7142857142858</v>
      </c>
      <c r="G57" s="103">
        <f t="shared" si="12"/>
        <v>0</v>
      </c>
      <c r="H57" s="103">
        <f t="shared" si="12"/>
        <v>0</v>
      </c>
      <c r="I57" s="103">
        <f t="shared" si="12"/>
        <v>3572.7142857142858</v>
      </c>
      <c r="J57" s="103">
        <f t="shared" si="12"/>
        <v>2703.4285714285716</v>
      </c>
      <c r="K57" s="103">
        <f t="shared" si="12"/>
        <v>0</v>
      </c>
      <c r="L57" s="103">
        <f t="shared" si="12"/>
        <v>0</v>
      </c>
      <c r="M57" s="103">
        <f t="shared" si="12"/>
        <v>0</v>
      </c>
      <c r="N57" s="103">
        <f t="shared" si="12"/>
        <v>5514.7142857142853</v>
      </c>
      <c r="O57" s="103">
        <f t="shared" si="12"/>
        <v>5514.7142857142853</v>
      </c>
      <c r="P57" s="103">
        <f t="shared" si="12"/>
        <v>4790.5714285714284</v>
      </c>
      <c r="Q57" s="103">
        <f t="shared" si="12"/>
        <v>0</v>
      </c>
      <c r="R57" s="103">
        <f t="shared" si="12"/>
        <v>0</v>
      </c>
      <c r="S57" s="103">
        <f t="shared" si="12"/>
        <v>2044</v>
      </c>
      <c r="T57" s="103">
        <f t="shared" si="12"/>
        <v>2044</v>
      </c>
      <c r="U57" s="103">
        <f t="shared" si="12"/>
        <v>0</v>
      </c>
    </row>
    <row r="58" spans="1:21" x14ac:dyDescent="0.35">
      <c r="A58" s="21" t="s">
        <v>159</v>
      </c>
      <c r="B58" s="22"/>
      <c r="C58" s="35"/>
      <c r="D58" s="25"/>
      <c r="E58" s="25"/>
      <c r="F58" s="25"/>
      <c r="G58" s="25"/>
      <c r="H58" s="25"/>
      <c r="I58" s="25"/>
      <c r="J58" s="24"/>
      <c r="K58" s="25"/>
      <c r="L58" s="25"/>
      <c r="M58" s="25"/>
      <c r="N58" s="24"/>
      <c r="O58" s="24"/>
      <c r="P58" s="25" t="s">
        <v>370</v>
      </c>
      <c r="Q58" s="25"/>
      <c r="R58" s="25"/>
      <c r="S58" s="25"/>
      <c r="T58" s="25"/>
      <c r="U58" s="25"/>
    </row>
    <row r="59" spans="1:21" x14ac:dyDescent="0.35">
      <c r="A59" s="26" t="s">
        <v>161</v>
      </c>
      <c r="B59" s="27" t="s">
        <v>162</v>
      </c>
      <c r="C59" s="36"/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>
        <v>33534</v>
      </c>
      <c r="Q59" s="28"/>
      <c r="R59" s="28"/>
      <c r="S59" s="28"/>
      <c r="T59" s="28"/>
      <c r="U59" s="28"/>
    </row>
    <row r="60" spans="1:21" x14ac:dyDescent="0.35">
      <c r="A60" s="26" t="s">
        <v>161</v>
      </c>
      <c r="B60" s="27" t="s">
        <v>163</v>
      </c>
      <c r="C60" s="36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9"/>
      <c r="P60" s="28">
        <v>38603</v>
      </c>
      <c r="Q60" s="28"/>
      <c r="R60" s="28"/>
      <c r="S60" s="28"/>
      <c r="T60" s="28"/>
      <c r="U60" s="28"/>
    </row>
    <row r="61" spans="1:21" x14ac:dyDescent="0.35">
      <c r="A61" s="26" t="s">
        <v>164</v>
      </c>
      <c r="B61" s="27"/>
      <c r="C61" s="36"/>
      <c r="D61" s="28"/>
      <c r="E61" s="28"/>
      <c r="F61" s="28"/>
      <c r="G61" s="28"/>
      <c r="H61" s="28"/>
      <c r="I61" s="28"/>
      <c r="J61" s="39"/>
      <c r="K61" s="28"/>
      <c r="L61" s="28"/>
      <c r="M61" s="28"/>
      <c r="N61" s="28"/>
      <c r="O61" s="28"/>
      <c r="P61" s="28" t="s">
        <v>244</v>
      </c>
      <c r="Q61" s="28"/>
      <c r="R61" s="28"/>
      <c r="S61" s="28"/>
      <c r="T61" s="28"/>
      <c r="U61" s="28"/>
    </row>
    <row r="62" spans="1:21" x14ac:dyDescent="0.35">
      <c r="A62" s="32" t="s">
        <v>165</v>
      </c>
      <c r="B62" s="37"/>
      <c r="C62" s="36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</row>
    <row r="63" spans="1:21" x14ac:dyDescent="0.35">
      <c r="A63" s="225" t="s">
        <v>167</v>
      </c>
      <c r="B63" s="63"/>
      <c r="C63" s="105">
        <f>IFERROR(C60-C59,"")</f>
        <v>0</v>
      </c>
      <c r="D63" s="105">
        <f t="shared" ref="D63:U63" si="13">IFERROR(D60-D59,"")</f>
        <v>0</v>
      </c>
      <c r="E63" s="105">
        <f t="shared" si="13"/>
        <v>0</v>
      </c>
      <c r="F63" s="105">
        <f t="shared" si="13"/>
        <v>0</v>
      </c>
      <c r="G63" s="105">
        <f t="shared" si="13"/>
        <v>0</v>
      </c>
      <c r="H63" s="105">
        <f t="shared" si="13"/>
        <v>0</v>
      </c>
      <c r="I63" s="105">
        <f t="shared" si="13"/>
        <v>0</v>
      </c>
      <c r="J63" s="105">
        <f t="shared" si="13"/>
        <v>0</v>
      </c>
      <c r="K63" s="105">
        <f t="shared" si="13"/>
        <v>0</v>
      </c>
      <c r="L63" s="105">
        <f t="shared" si="13"/>
        <v>0</v>
      </c>
      <c r="M63" s="105">
        <f t="shared" si="13"/>
        <v>0</v>
      </c>
      <c r="N63" s="105">
        <f t="shared" si="13"/>
        <v>0</v>
      </c>
      <c r="O63" s="105">
        <f t="shared" si="13"/>
        <v>0</v>
      </c>
      <c r="P63" s="105">
        <f t="shared" si="13"/>
        <v>5069</v>
      </c>
      <c r="Q63" s="105">
        <f t="shared" si="13"/>
        <v>0</v>
      </c>
      <c r="R63" s="105">
        <f t="shared" si="13"/>
        <v>0</v>
      </c>
      <c r="S63" s="105">
        <f t="shared" si="13"/>
        <v>0</v>
      </c>
      <c r="T63" s="105">
        <f t="shared" si="13"/>
        <v>0</v>
      </c>
      <c r="U63" s="105">
        <f t="shared" si="13"/>
        <v>0</v>
      </c>
    </row>
    <row r="64" spans="1:21" ht="15.5" x14ac:dyDescent="0.35">
      <c r="A64" s="65" t="s">
        <v>2</v>
      </c>
      <c r="B64" s="66"/>
      <c r="C64" s="103">
        <f>AVERAGE(C63,C56,C49,C42,C35,C28,C21,C14)</f>
        <v>4825.375</v>
      </c>
      <c r="D64" s="103">
        <f t="shared" ref="D64:U64" si="14">AVERAGE(D63,D56,D49,D42,D35,D28,D21,D14)</f>
        <v>0</v>
      </c>
      <c r="E64" s="103">
        <f t="shared" si="14"/>
        <v>4825.375</v>
      </c>
      <c r="F64" s="103">
        <f t="shared" si="14"/>
        <v>3126.125</v>
      </c>
      <c r="G64" s="103">
        <f t="shared" si="14"/>
        <v>0</v>
      </c>
      <c r="H64" s="103">
        <f t="shared" si="14"/>
        <v>0</v>
      </c>
      <c r="I64" s="103">
        <f t="shared" si="14"/>
        <v>3126.125</v>
      </c>
      <c r="J64" s="103">
        <f t="shared" si="14"/>
        <v>2365.5</v>
      </c>
      <c r="K64" s="103">
        <f t="shared" si="14"/>
        <v>0</v>
      </c>
      <c r="L64" s="103">
        <f t="shared" si="14"/>
        <v>0</v>
      </c>
      <c r="M64" s="103">
        <f t="shared" si="14"/>
        <v>0</v>
      </c>
      <c r="N64" s="103">
        <f t="shared" si="14"/>
        <v>4825.375</v>
      </c>
      <c r="O64" s="103">
        <f t="shared" si="14"/>
        <v>4825.375</v>
      </c>
      <c r="P64" s="103">
        <f t="shared" si="14"/>
        <v>4825.375</v>
      </c>
      <c r="Q64" s="103">
        <f t="shared" si="14"/>
        <v>0</v>
      </c>
      <c r="R64" s="103">
        <f t="shared" si="14"/>
        <v>0</v>
      </c>
      <c r="S64" s="103">
        <f t="shared" si="14"/>
        <v>1788.5</v>
      </c>
      <c r="T64" s="103">
        <f t="shared" si="14"/>
        <v>1788.5</v>
      </c>
      <c r="U64" s="103">
        <f t="shared" si="14"/>
        <v>0</v>
      </c>
    </row>
  </sheetData>
  <sheetProtection algorithmName="SHA-512" hashValue="wU+SvWIFT1nZutzT6mIJcGyax/My0adiM9GhKeZVwEiydoSMKepivbmFwRlJcq6rebm6bpykE3kvAdL5Yo6wkQ==" saltValue="06my6qfq2JK18E8Hjj1tTw==" spinCount="100000" sheet="1" objects="1" scenarios="1"/>
  <autoFilter ref="A2:U64" xr:uid="{00000000-0009-0000-0000-00000E000000}"/>
  <mergeCells count="2">
    <mergeCell ref="A7:B7"/>
    <mergeCell ref="A8:B8"/>
  </mergeCells>
  <conditionalFormatting sqref="Q43:U43 H43:N43 H50:N50 H57:N57">
    <cfRule type="expression" dxfId="959" priority="35">
      <formula>H43&lt;H46</formula>
    </cfRule>
    <cfRule type="expression" dxfId="958" priority="36">
      <formula>H43&gt;H46</formula>
    </cfRule>
  </conditionalFormatting>
  <conditionalFormatting sqref="D43">
    <cfRule type="expression" dxfId="957" priority="43">
      <formula>D43&lt;D46</formula>
    </cfRule>
    <cfRule type="expression" dxfId="956" priority="44">
      <formula>D43&gt;$C$19</formula>
    </cfRule>
  </conditionalFormatting>
  <conditionalFormatting sqref="E43">
    <cfRule type="expression" dxfId="955" priority="41" stopIfTrue="1">
      <formula>E43&lt;E46</formula>
    </cfRule>
    <cfRule type="expression" dxfId="954" priority="42" stopIfTrue="1">
      <formula>E43&gt;$C$19</formula>
    </cfRule>
  </conditionalFormatting>
  <conditionalFormatting sqref="F43">
    <cfRule type="expression" dxfId="953" priority="39">
      <formula>F43&lt;F46</formula>
    </cfRule>
    <cfRule type="expression" dxfId="952" priority="40">
      <formula>F43&gt;F46</formula>
    </cfRule>
  </conditionalFormatting>
  <conditionalFormatting sqref="G43">
    <cfRule type="expression" dxfId="951" priority="37">
      <formula>G43&lt;G46</formula>
    </cfRule>
    <cfRule type="expression" dxfId="950" priority="38">
      <formula>G43&gt;G46</formula>
    </cfRule>
  </conditionalFormatting>
  <conditionalFormatting sqref="P43">
    <cfRule type="expression" dxfId="949" priority="31">
      <formula>P43&lt;P46</formula>
    </cfRule>
    <cfRule type="expression" dxfId="948" priority="32">
      <formula>P43&gt;P45</formula>
    </cfRule>
  </conditionalFormatting>
  <conditionalFormatting sqref="Q50:U50">
    <cfRule type="expression" dxfId="947" priority="21">
      <formula>Q50&lt;Q53</formula>
    </cfRule>
    <cfRule type="expression" dxfId="946" priority="22">
      <formula>Q50&gt;Q53</formula>
    </cfRule>
  </conditionalFormatting>
  <conditionalFormatting sqref="D50">
    <cfRule type="expression" dxfId="945" priority="29">
      <formula>D50&lt;D53</formula>
    </cfRule>
    <cfRule type="expression" dxfId="944" priority="30">
      <formula>D50&gt;$C$19</formula>
    </cfRule>
  </conditionalFormatting>
  <conditionalFormatting sqref="E50">
    <cfRule type="expression" dxfId="943" priority="27" stopIfTrue="1">
      <formula>E50&lt;E53</formula>
    </cfRule>
    <cfRule type="expression" dxfId="942" priority="28" stopIfTrue="1">
      <formula>E50&gt;$C$19</formula>
    </cfRule>
  </conditionalFormatting>
  <conditionalFormatting sqref="F50">
    <cfRule type="expression" dxfId="941" priority="25">
      <formula>F50&lt;F53</formula>
    </cfRule>
    <cfRule type="expression" dxfId="940" priority="26">
      <formula>F50&gt;F53</formula>
    </cfRule>
  </conditionalFormatting>
  <conditionalFormatting sqref="G50">
    <cfRule type="expression" dxfId="939" priority="23">
      <formula>G50&lt;G53</formula>
    </cfRule>
    <cfRule type="expression" dxfId="938" priority="24">
      <formula>G50&gt;G53</formula>
    </cfRule>
  </conditionalFormatting>
  <conditionalFormatting sqref="P50">
    <cfRule type="expression" dxfId="937" priority="17">
      <formula>P50&lt;P53</formula>
    </cfRule>
    <cfRule type="expression" dxfId="936" priority="18">
      <formula>P50&gt;P52</formula>
    </cfRule>
  </conditionalFormatting>
  <conditionalFormatting sqref="Q57:U57">
    <cfRule type="expression" dxfId="935" priority="7">
      <formula>Q57&lt;Q60</formula>
    </cfRule>
    <cfRule type="expression" dxfId="934" priority="8">
      <formula>Q57&gt;Q60</formula>
    </cfRule>
  </conditionalFormatting>
  <conditionalFormatting sqref="D57">
    <cfRule type="expression" dxfId="933" priority="15">
      <formula>D57&lt;D60</formula>
    </cfRule>
    <cfRule type="expression" dxfId="932" priority="16">
      <formula>D57&gt;$C$19</formula>
    </cfRule>
  </conditionalFormatting>
  <conditionalFormatting sqref="E57">
    <cfRule type="expression" dxfId="931" priority="13" stopIfTrue="1">
      <formula>E57&lt;E60</formula>
    </cfRule>
    <cfRule type="expression" dxfId="930" priority="14" stopIfTrue="1">
      <formula>E57&gt;$C$19</formula>
    </cfRule>
  </conditionalFormatting>
  <conditionalFormatting sqref="F57">
    <cfRule type="expression" dxfId="929" priority="11">
      <formula>F57&lt;F60</formula>
    </cfRule>
    <cfRule type="expression" dxfId="928" priority="12">
      <formula>F57&gt;F60</formula>
    </cfRule>
  </conditionalFormatting>
  <conditionalFormatting sqref="G57">
    <cfRule type="expression" dxfId="927" priority="9">
      <formula>G57&lt;G60</formula>
    </cfRule>
    <cfRule type="expression" dxfId="926" priority="10">
      <formula>G57&gt;G60</formula>
    </cfRule>
  </conditionalFormatting>
  <conditionalFormatting sqref="P57">
    <cfRule type="expression" dxfId="925" priority="3">
      <formula>P57&lt;P60</formula>
    </cfRule>
    <cfRule type="expression" dxfId="924" priority="4">
      <formula>P57&gt;P59</formula>
    </cfRule>
  </conditionalFormatting>
  <conditionalFormatting sqref="O57">
    <cfRule type="expression" dxfId="923" priority="1">
      <formula>O57&lt;O60</formula>
    </cfRule>
    <cfRule type="expression" dxfId="922" priority="2">
      <formula>O57&gt;O59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/>
  <dimension ref="A1:V64"/>
  <sheetViews>
    <sheetView workbookViewId="0">
      <selection activeCell="D17" sqref="D17"/>
    </sheetView>
  </sheetViews>
  <sheetFormatPr defaultColWidth="8.81640625" defaultRowHeight="14.5" x14ac:dyDescent="0.35"/>
  <cols>
    <col min="1" max="1" width="17.81640625" customWidth="1"/>
    <col min="2" max="2" width="9.81640625" customWidth="1"/>
    <col min="3" max="3" width="23.1796875" customWidth="1"/>
    <col min="4" max="4" width="18.1796875" customWidth="1"/>
    <col min="5" max="5" width="2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0" width="18.54296875" customWidth="1"/>
    <col min="11" max="11" width="18.81640625" customWidth="1"/>
    <col min="12" max="12" width="20.81640625" customWidth="1"/>
    <col min="13" max="13" width="17.1796875" bestFit="1" customWidth="1"/>
    <col min="14" max="16" width="17.1796875" customWidth="1"/>
    <col min="17" max="17" width="15" bestFit="1" customWidth="1"/>
    <col min="18" max="18" width="20.453125" customWidth="1"/>
    <col min="19" max="19" width="21.1796875" customWidth="1"/>
    <col min="20" max="20" width="17.1796875" bestFit="1" customWidth="1"/>
    <col min="21" max="21" width="17.1796875" customWidth="1"/>
    <col min="22" max="22" width="21.81640625" customWidth="1"/>
  </cols>
  <sheetData>
    <row r="1" spans="1:22" ht="15" thickBot="1" x14ac:dyDescent="0.4"/>
    <row r="2" spans="1:22" x14ac:dyDescent="0.35">
      <c r="E2" s="130" t="s">
        <v>195</v>
      </c>
      <c r="F2" s="131"/>
      <c r="G2" s="131" t="s">
        <v>104</v>
      </c>
      <c r="H2" s="131"/>
      <c r="I2" s="132"/>
    </row>
    <row r="3" spans="1:22" x14ac:dyDescent="0.35">
      <c r="E3" s="133"/>
      <c r="F3" s="134" t="s">
        <v>336</v>
      </c>
      <c r="G3" s="135"/>
      <c r="H3" s="134"/>
      <c r="I3" s="136"/>
    </row>
    <row r="4" spans="1:22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22" ht="30.65" customHeight="1" x14ac:dyDescent="0.35">
      <c r="A5" s="141" t="s">
        <v>371</v>
      </c>
      <c r="B5" t="s">
        <v>372</v>
      </c>
    </row>
    <row r="6" spans="1:22" ht="28.4" customHeight="1" x14ac:dyDescent="0.35">
      <c r="A6" s="142" t="s">
        <v>200</v>
      </c>
      <c r="B6" s="169"/>
      <c r="C6" s="142" t="s">
        <v>339</v>
      </c>
      <c r="D6" s="142" t="s">
        <v>340</v>
      </c>
      <c r="E6" s="142" t="s">
        <v>341</v>
      </c>
      <c r="F6" s="142" t="s">
        <v>342</v>
      </c>
      <c r="G6" s="143" t="s">
        <v>343</v>
      </c>
      <c r="H6" s="143" t="s">
        <v>344</v>
      </c>
      <c r="I6" s="143" t="s">
        <v>345</v>
      </c>
      <c r="J6" s="142" t="s">
        <v>346</v>
      </c>
      <c r="K6" s="142" t="s">
        <v>347</v>
      </c>
      <c r="L6" s="142" t="s">
        <v>348</v>
      </c>
      <c r="M6" s="142" t="s">
        <v>349</v>
      </c>
      <c r="N6" s="142" t="s">
        <v>350</v>
      </c>
      <c r="O6" s="142" t="s">
        <v>351</v>
      </c>
      <c r="P6" s="142" t="s">
        <v>352</v>
      </c>
      <c r="Q6" s="142" t="s">
        <v>353</v>
      </c>
      <c r="R6" s="142" t="s">
        <v>373</v>
      </c>
      <c r="S6" s="142" t="s">
        <v>355</v>
      </c>
      <c r="T6" s="142" t="s">
        <v>356</v>
      </c>
      <c r="U6" s="142" t="s">
        <v>357</v>
      </c>
      <c r="V6" s="144" t="s">
        <v>358</v>
      </c>
    </row>
    <row r="7" spans="1:22" x14ac:dyDescent="0.35">
      <c r="A7" s="252" t="s">
        <v>137</v>
      </c>
      <c r="B7" s="252"/>
      <c r="C7" s="145" t="s">
        <v>140</v>
      </c>
      <c r="D7" s="145" t="s">
        <v>141</v>
      </c>
      <c r="E7" s="145" t="s">
        <v>214</v>
      </c>
      <c r="F7" s="145" t="s">
        <v>215</v>
      </c>
      <c r="G7" s="145" t="s">
        <v>142</v>
      </c>
      <c r="H7" s="145" t="s">
        <v>143</v>
      </c>
      <c r="I7" s="145" t="s">
        <v>144</v>
      </c>
      <c r="J7" s="145" t="s">
        <v>145</v>
      </c>
      <c r="K7" s="145" t="s">
        <v>146</v>
      </c>
      <c r="L7" s="145" t="s">
        <v>147</v>
      </c>
      <c r="M7" s="145" t="s">
        <v>148</v>
      </c>
      <c r="N7" s="145" t="s">
        <v>149</v>
      </c>
      <c r="O7" s="145" t="s">
        <v>150</v>
      </c>
      <c r="P7" s="145" t="s">
        <v>151</v>
      </c>
      <c r="Q7" s="145" t="s">
        <v>152</v>
      </c>
      <c r="R7" s="145" t="s">
        <v>153</v>
      </c>
      <c r="S7" s="145" t="s">
        <v>217</v>
      </c>
      <c r="T7" s="145" t="s">
        <v>218</v>
      </c>
      <c r="U7" s="145" t="s">
        <v>156</v>
      </c>
      <c r="V7" s="145" t="s">
        <v>359</v>
      </c>
    </row>
    <row r="8" spans="1:22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2</v>
      </c>
      <c r="K8" s="147">
        <v>1</v>
      </c>
      <c r="L8" s="147">
        <v>2</v>
      </c>
      <c r="M8" s="147">
        <v>1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4</v>
      </c>
      <c r="U8" s="147">
        <v>1</v>
      </c>
      <c r="V8" s="147">
        <v>1</v>
      </c>
    </row>
    <row r="9" spans="1:22" x14ac:dyDescent="0.35">
      <c r="A9" s="150" t="s">
        <v>159</v>
      </c>
      <c r="B9" s="151"/>
      <c r="C9" s="173" t="s">
        <v>225</v>
      </c>
      <c r="D9" s="173" t="s">
        <v>225</v>
      </c>
      <c r="E9" s="152"/>
      <c r="F9" s="152"/>
      <c r="G9" s="152"/>
      <c r="H9" s="152"/>
      <c r="I9" s="173" t="s">
        <v>225</v>
      </c>
      <c r="J9" s="173" t="s">
        <v>225</v>
      </c>
      <c r="K9" s="154"/>
      <c r="L9" s="173" t="s">
        <v>225</v>
      </c>
      <c r="M9" s="173" t="s">
        <v>225</v>
      </c>
      <c r="N9" s="152"/>
      <c r="O9" s="173" t="s">
        <v>225</v>
      </c>
      <c r="P9" s="173" t="s">
        <v>225</v>
      </c>
      <c r="Q9" s="152"/>
      <c r="R9" s="173" t="s">
        <v>225</v>
      </c>
      <c r="S9" s="152"/>
      <c r="T9" s="152"/>
      <c r="U9" s="152"/>
      <c r="V9" s="173" t="s">
        <v>225</v>
      </c>
    </row>
    <row r="10" spans="1:22" x14ac:dyDescent="0.35">
      <c r="A10" s="155" t="s">
        <v>161</v>
      </c>
      <c r="B10" s="156" t="s">
        <v>162</v>
      </c>
      <c r="C10" s="172">
        <v>0</v>
      </c>
      <c r="D10" s="172">
        <v>0</v>
      </c>
      <c r="E10" s="157"/>
      <c r="F10" s="157"/>
      <c r="G10" s="157"/>
      <c r="H10" s="157"/>
      <c r="I10" s="172">
        <v>0</v>
      </c>
      <c r="J10" s="172">
        <v>0</v>
      </c>
      <c r="K10" s="157"/>
      <c r="L10" s="172">
        <v>0</v>
      </c>
      <c r="M10" s="172">
        <v>0</v>
      </c>
      <c r="N10" s="157"/>
      <c r="O10" s="172">
        <v>0</v>
      </c>
      <c r="P10" s="172">
        <v>0</v>
      </c>
      <c r="Q10" s="157"/>
      <c r="R10" s="172">
        <v>0</v>
      </c>
      <c r="S10" s="157"/>
      <c r="T10" s="157"/>
      <c r="U10" s="157"/>
      <c r="V10" s="172">
        <v>0</v>
      </c>
    </row>
    <row r="11" spans="1:22" x14ac:dyDescent="0.35">
      <c r="A11" s="155" t="s">
        <v>161</v>
      </c>
      <c r="B11" s="156" t="s">
        <v>163</v>
      </c>
      <c r="C11" s="172">
        <v>0</v>
      </c>
      <c r="D11" s="175">
        <v>7146</v>
      </c>
      <c r="E11" s="157"/>
      <c r="F11" s="157"/>
      <c r="G11" s="157"/>
      <c r="H11" s="157"/>
      <c r="I11" s="172">
        <v>0</v>
      </c>
      <c r="J11" s="175">
        <v>10708</v>
      </c>
      <c r="K11" s="157"/>
      <c r="L11" s="172">
        <v>0</v>
      </c>
      <c r="M11" s="172">
        <v>0</v>
      </c>
      <c r="N11" s="157"/>
      <c r="O11" s="172">
        <v>0</v>
      </c>
      <c r="P11" s="172">
        <v>0</v>
      </c>
      <c r="Q11" s="157"/>
      <c r="R11" s="172">
        <v>0</v>
      </c>
      <c r="S11" s="157"/>
      <c r="T11" s="157"/>
      <c r="U11" s="157"/>
      <c r="V11" s="172">
        <v>0</v>
      </c>
    </row>
    <row r="12" spans="1:22" x14ac:dyDescent="0.35">
      <c r="A12" s="155" t="s">
        <v>164</v>
      </c>
      <c r="B12" s="156"/>
      <c r="C12" s="176">
        <v>42917</v>
      </c>
      <c r="D12" s="177">
        <v>43269</v>
      </c>
      <c r="E12" s="157"/>
      <c r="F12" s="157"/>
      <c r="G12" s="157"/>
      <c r="H12" s="157"/>
      <c r="I12" s="176">
        <v>42917</v>
      </c>
      <c r="J12" s="180">
        <v>43781</v>
      </c>
      <c r="K12" s="157"/>
      <c r="L12" s="176">
        <v>42802</v>
      </c>
      <c r="M12" s="176">
        <v>43082</v>
      </c>
      <c r="N12" s="157"/>
      <c r="O12" s="178">
        <v>42856</v>
      </c>
      <c r="P12" s="176">
        <v>42802</v>
      </c>
      <c r="Q12" s="157"/>
      <c r="R12" s="176">
        <v>42802</v>
      </c>
      <c r="S12" s="157"/>
      <c r="T12" s="157"/>
      <c r="U12" s="157"/>
      <c r="V12" s="176">
        <v>42917</v>
      </c>
    </row>
    <row r="13" spans="1:22" ht="29" x14ac:dyDescent="0.35">
      <c r="A13" s="160" t="s">
        <v>165</v>
      </c>
      <c r="B13" s="161"/>
      <c r="C13" s="162" t="s">
        <v>166</v>
      </c>
      <c r="D13" s="162" t="s">
        <v>166</v>
      </c>
      <c r="E13" s="157"/>
      <c r="F13" s="157"/>
      <c r="G13" s="157"/>
      <c r="H13" s="157"/>
      <c r="I13" s="162" t="s">
        <v>166</v>
      </c>
      <c r="J13" s="162" t="s">
        <v>166</v>
      </c>
      <c r="K13" s="157"/>
      <c r="L13" s="181" t="s">
        <v>374</v>
      </c>
      <c r="M13" s="181" t="s">
        <v>374</v>
      </c>
      <c r="N13" s="157"/>
      <c r="O13" s="162" t="s">
        <v>166</v>
      </c>
      <c r="P13" s="181" t="s">
        <v>374</v>
      </c>
      <c r="Q13" s="157"/>
      <c r="R13" s="181" t="s">
        <v>374</v>
      </c>
      <c r="S13" s="157"/>
      <c r="T13" s="157"/>
      <c r="U13" s="157"/>
      <c r="V13" s="162" t="s">
        <v>166</v>
      </c>
    </row>
    <row r="14" spans="1:22" x14ac:dyDescent="0.35">
      <c r="A14" s="225" t="s">
        <v>167</v>
      </c>
      <c r="B14" s="225"/>
      <c r="C14" s="225">
        <f>IFERROR(C11-C10,"")</f>
        <v>0</v>
      </c>
      <c r="D14" s="225">
        <f t="shared" ref="D14:V14" si="0">IFERROR(D11-D10,"")</f>
        <v>7146</v>
      </c>
      <c r="E14" s="225">
        <f t="shared" si="0"/>
        <v>0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0</v>
      </c>
      <c r="J14" s="225">
        <f t="shared" si="0"/>
        <v>10708</v>
      </c>
      <c r="K14" s="225">
        <f t="shared" si="0"/>
        <v>0</v>
      </c>
      <c r="L14" s="225">
        <f t="shared" si="0"/>
        <v>0</v>
      </c>
      <c r="M14" s="225">
        <f t="shared" si="0"/>
        <v>0</v>
      </c>
      <c r="N14" s="225">
        <f t="shared" si="0"/>
        <v>0</v>
      </c>
      <c r="O14" s="225">
        <f t="shared" si="0"/>
        <v>0</v>
      </c>
      <c r="P14" s="225">
        <f t="shared" si="0"/>
        <v>0</v>
      </c>
      <c r="Q14" s="225">
        <f t="shared" si="0"/>
        <v>0</v>
      </c>
      <c r="R14" s="225">
        <f t="shared" si="0"/>
        <v>0</v>
      </c>
      <c r="S14" s="225">
        <f t="shared" si="0"/>
        <v>0</v>
      </c>
      <c r="T14" s="225">
        <f t="shared" si="0"/>
        <v>0</v>
      </c>
      <c r="U14" s="225">
        <f t="shared" si="0"/>
        <v>0</v>
      </c>
      <c r="V14" s="225">
        <f t="shared" si="0"/>
        <v>0</v>
      </c>
    </row>
    <row r="15" spans="1:22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</row>
    <row r="16" spans="1:22" x14ac:dyDescent="0.35">
      <c r="A16" s="150" t="s">
        <v>159</v>
      </c>
      <c r="B16" s="151"/>
      <c r="C16" s="176">
        <v>42917</v>
      </c>
      <c r="D16" s="154"/>
      <c r="E16" s="154"/>
      <c r="F16" s="154"/>
      <c r="G16" s="154"/>
      <c r="H16" s="154"/>
      <c r="I16" s="176">
        <v>42917</v>
      </c>
      <c r="J16" s="152"/>
      <c r="K16" s="154"/>
      <c r="L16" s="154"/>
      <c r="M16" s="154"/>
      <c r="N16" s="154"/>
      <c r="O16" s="178">
        <v>42856</v>
      </c>
      <c r="P16" s="176">
        <v>42795</v>
      </c>
      <c r="Q16" s="154"/>
      <c r="R16" s="154"/>
      <c r="S16" s="152"/>
      <c r="T16" s="152"/>
      <c r="U16" s="152"/>
      <c r="V16" s="176">
        <v>42917</v>
      </c>
    </row>
    <row r="17" spans="1:22" x14ac:dyDescent="0.35">
      <c r="A17" s="155" t="s">
        <v>161</v>
      </c>
      <c r="B17" s="156" t="s">
        <v>162</v>
      </c>
      <c r="C17" s="172">
        <v>0</v>
      </c>
      <c r="D17" s="157"/>
      <c r="E17" s="157"/>
      <c r="F17" s="157"/>
      <c r="G17" s="157"/>
      <c r="H17" s="157"/>
      <c r="I17" s="172">
        <v>0</v>
      </c>
      <c r="J17" s="157"/>
      <c r="K17" s="157"/>
      <c r="L17" s="157"/>
      <c r="M17" s="157"/>
      <c r="N17" s="157"/>
      <c r="O17" s="172">
        <v>0</v>
      </c>
      <c r="P17" s="172">
        <v>0</v>
      </c>
      <c r="Q17" s="157"/>
      <c r="R17" s="157"/>
      <c r="S17" s="157"/>
      <c r="T17" s="157"/>
      <c r="U17" s="157"/>
      <c r="V17" s="172">
        <v>0</v>
      </c>
    </row>
    <row r="18" spans="1:22" x14ac:dyDescent="0.35">
      <c r="A18" s="155" t="s">
        <v>161</v>
      </c>
      <c r="B18" s="156" t="s">
        <v>163</v>
      </c>
      <c r="C18" s="175">
        <v>4793</v>
      </c>
      <c r="D18" s="157"/>
      <c r="E18" s="157"/>
      <c r="F18" s="157"/>
      <c r="G18" s="157"/>
      <c r="H18" s="157"/>
      <c r="I18" s="175">
        <v>7146</v>
      </c>
      <c r="J18" s="157"/>
      <c r="K18" s="157"/>
      <c r="L18" s="157"/>
      <c r="M18" s="157"/>
      <c r="N18" s="157"/>
      <c r="O18" s="175">
        <v>4793</v>
      </c>
      <c r="P18" s="175">
        <v>7146</v>
      </c>
      <c r="Q18" s="157"/>
      <c r="R18" s="157"/>
      <c r="S18" s="157"/>
      <c r="T18" s="157"/>
      <c r="U18" s="157"/>
      <c r="V18" s="172">
        <v>0</v>
      </c>
    </row>
    <row r="19" spans="1:22" x14ac:dyDescent="0.35">
      <c r="A19" s="155" t="s">
        <v>164</v>
      </c>
      <c r="B19" s="156"/>
      <c r="C19" s="180">
        <v>43114</v>
      </c>
      <c r="D19" s="157"/>
      <c r="E19" s="157"/>
      <c r="F19" s="157"/>
      <c r="G19" s="157"/>
      <c r="H19" s="157"/>
      <c r="I19" s="177">
        <v>43269</v>
      </c>
      <c r="J19" s="166"/>
      <c r="K19" s="157"/>
      <c r="L19" s="157"/>
      <c r="M19" s="157"/>
      <c r="N19" s="157"/>
      <c r="O19" s="180">
        <v>43114</v>
      </c>
      <c r="P19" s="177">
        <v>43269</v>
      </c>
      <c r="Q19" s="157"/>
      <c r="R19" s="157"/>
      <c r="S19" s="157"/>
      <c r="T19" s="157"/>
      <c r="U19" s="157"/>
      <c r="V19" s="176">
        <v>43082</v>
      </c>
    </row>
    <row r="20" spans="1:22" ht="29" x14ac:dyDescent="0.35">
      <c r="A20" s="160" t="s">
        <v>165</v>
      </c>
      <c r="B20" s="167"/>
      <c r="C20" s="162" t="s">
        <v>166</v>
      </c>
      <c r="D20" s="157"/>
      <c r="E20" s="157"/>
      <c r="F20" s="157"/>
      <c r="G20" s="157"/>
      <c r="H20" s="157"/>
      <c r="I20" s="162" t="s">
        <v>166</v>
      </c>
      <c r="J20" s="157"/>
      <c r="K20" s="157"/>
      <c r="L20" s="157"/>
      <c r="M20" s="157"/>
      <c r="N20" s="157"/>
      <c r="O20" s="162" t="s">
        <v>166</v>
      </c>
      <c r="P20" s="162" t="s">
        <v>166</v>
      </c>
      <c r="Q20" s="157"/>
      <c r="R20" s="157"/>
      <c r="S20" s="157"/>
      <c r="T20" s="157"/>
      <c r="U20" s="157"/>
      <c r="V20" s="181" t="s">
        <v>374</v>
      </c>
    </row>
    <row r="21" spans="1:22" x14ac:dyDescent="0.35">
      <c r="A21" s="225" t="s">
        <v>167</v>
      </c>
      <c r="B21" s="225"/>
      <c r="C21" s="225">
        <f>IFERROR(C18-C17,"")</f>
        <v>4793</v>
      </c>
      <c r="D21" s="225">
        <f t="shared" ref="D21:V21" si="1">IFERROR(D18-D17,"")</f>
        <v>0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7146</v>
      </c>
      <c r="J21" s="225">
        <f t="shared" si="1"/>
        <v>0</v>
      </c>
      <c r="K21" s="225">
        <f t="shared" si="1"/>
        <v>0</v>
      </c>
      <c r="L21" s="225">
        <f t="shared" si="1"/>
        <v>0</v>
      </c>
      <c r="M21" s="225">
        <f t="shared" si="1"/>
        <v>0</v>
      </c>
      <c r="N21" s="225">
        <f t="shared" si="1"/>
        <v>0</v>
      </c>
      <c r="O21" s="225">
        <f t="shared" si="1"/>
        <v>4793</v>
      </c>
      <c r="P21" s="225">
        <f t="shared" si="1"/>
        <v>7146</v>
      </c>
      <c r="Q21" s="225">
        <f t="shared" si="1"/>
        <v>0</v>
      </c>
      <c r="R21" s="225">
        <f t="shared" si="1"/>
        <v>0</v>
      </c>
      <c r="S21" s="225">
        <f t="shared" si="1"/>
        <v>0</v>
      </c>
      <c r="T21" s="225">
        <f t="shared" si="1"/>
        <v>0</v>
      </c>
      <c r="U21" s="225">
        <f t="shared" si="1"/>
        <v>0</v>
      </c>
      <c r="V21" s="225">
        <f t="shared" si="1"/>
        <v>0</v>
      </c>
    </row>
    <row r="22" spans="1:22" ht="16.399999999999999" customHeight="1" x14ac:dyDescent="0.35">
      <c r="A22" s="65" t="s">
        <v>2</v>
      </c>
      <c r="B22" s="65"/>
      <c r="C22" s="65">
        <f>AVERAGE(C14,C21)</f>
        <v>2396.5</v>
      </c>
      <c r="D22" s="65">
        <f t="shared" ref="D22:V22" si="2">AVERAGE(D14,D21)</f>
        <v>3573</v>
      </c>
      <c r="E22" s="65">
        <f t="shared" si="2"/>
        <v>0</v>
      </c>
      <c r="F22" s="65">
        <f t="shared" si="2"/>
        <v>0</v>
      </c>
      <c r="G22" s="65">
        <f t="shared" si="2"/>
        <v>0</v>
      </c>
      <c r="H22" s="65">
        <f t="shared" si="2"/>
        <v>0</v>
      </c>
      <c r="I22" s="65">
        <f t="shared" si="2"/>
        <v>3573</v>
      </c>
      <c r="J22" s="65">
        <f t="shared" si="2"/>
        <v>5354</v>
      </c>
      <c r="K22" s="65">
        <f t="shared" si="2"/>
        <v>0</v>
      </c>
      <c r="L22" s="65">
        <f t="shared" si="2"/>
        <v>0</v>
      </c>
      <c r="M22" s="65">
        <f t="shared" si="2"/>
        <v>0</v>
      </c>
      <c r="N22" s="65">
        <f t="shared" si="2"/>
        <v>0</v>
      </c>
      <c r="O22" s="65">
        <f t="shared" si="2"/>
        <v>2396.5</v>
      </c>
      <c r="P22" s="65">
        <f t="shared" si="2"/>
        <v>3573</v>
      </c>
      <c r="Q22" s="65">
        <f t="shared" si="2"/>
        <v>0</v>
      </c>
      <c r="R22" s="65">
        <f t="shared" si="2"/>
        <v>0</v>
      </c>
      <c r="S22" s="65">
        <f t="shared" si="2"/>
        <v>0</v>
      </c>
      <c r="T22" s="65">
        <f t="shared" si="2"/>
        <v>0</v>
      </c>
      <c r="U22" s="65">
        <f t="shared" si="2"/>
        <v>0</v>
      </c>
      <c r="V22" s="65">
        <f t="shared" si="2"/>
        <v>0</v>
      </c>
    </row>
    <row r="23" spans="1:22" x14ac:dyDescent="0.35">
      <c r="A23" s="150" t="s">
        <v>159</v>
      </c>
      <c r="B23" s="151"/>
      <c r="C23" s="180">
        <v>43114</v>
      </c>
      <c r="D23" s="154"/>
      <c r="E23" s="154"/>
      <c r="F23" s="154"/>
      <c r="G23" s="154"/>
      <c r="H23" s="154"/>
      <c r="I23" s="177">
        <v>43269</v>
      </c>
      <c r="J23" s="152"/>
      <c r="K23" s="154"/>
      <c r="L23" s="154"/>
      <c r="M23" s="154"/>
      <c r="N23" s="154"/>
      <c r="O23" s="180">
        <v>43114</v>
      </c>
      <c r="P23" s="177">
        <v>43269</v>
      </c>
      <c r="Q23" s="154"/>
      <c r="R23" s="154"/>
      <c r="S23" s="152"/>
      <c r="T23" s="152"/>
      <c r="U23" s="152"/>
      <c r="V23" s="176">
        <v>43082</v>
      </c>
    </row>
    <row r="24" spans="1:22" x14ac:dyDescent="0.35">
      <c r="A24" s="155" t="s">
        <v>161</v>
      </c>
      <c r="B24" s="156" t="s">
        <v>162</v>
      </c>
      <c r="C24" s="175">
        <v>4793</v>
      </c>
      <c r="D24" s="157"/>
      <c r="E24" s="157"/>
      <c r="F24" s="157"/>
      <c r="G24" s="157"/>
      <c r="H24" s="157"/>
      <c r="I24" s="175">
        <v>7146</v>
      </c>
      <c r="J24" s="157"/>
      <c r="K24" s="157"/>
      <c r="L24" s="157"/>
      <c r="M24" s="157"/>
      <c r="N24" s="157"/>
      <c r="O24" s="175">
        <v>4793</v>
      </c>
      <c r="P24" s="175">
        <v>7146</v>
      </c>
      <c r="Q24" s="157"/>
      <c r="R24" s="157"/>
      <c r="S24" s="157"/>
      <c r="T24" s="157"/>
      <c r="U24" s="157"/>
      <c r="V24" s="172">
        <v>0</v>
      </c>
    </row>
    <row r="25" spans="1:22" x14ac:dyDescent="0.35">
      <c r="A25" s="155" t="s">
        <v>161</v>
      </c>
      <c r="B25" s="156" t="s">
        <v>163</v>
      </c>
      <c r="C25" s="175">
        <v>7146</v>
      </c>
      <c r="D25" s="157"/>
      <c r="E25" s="157"/>
      <c r="F25" s="157"/>
      <c r="G25" s="157"/>
      <c r="H25" s="157"/>
      <c r="I25" s="172">
        <v>8971</v>
      </c>
      <c r="J25" s="157"/>
      <c r="K25" s="157"/>
      <c r="L25" s="157"/>
      <c r="M25" s="157"/>
      <c r="N25" s="157"/>
      <c r="O25" s="175">
        <v>7146</v>
      </c>
      <c r="P25" s="172">
        <v>8971</v>
      </c>
      <c r="Q25" s="157"/>
      <c r="R25" s="157"/>
      <c r="S25" s="157"/>
      <c r="T25" s="157"/>
      <c r="U25" s="157"/>
      <c r="V25" s="175">
        <v>7146</v>
      </c>
    </row>
    <row r="26" spans="1:22" x14ac:dyDescent="0.35">
      <c r="A26" s="155" t="s">
        <v>164</v>
      </c>
      <c r="B26" s="156"/>
      <c r="C26" s="177">
        <v>43269</v>
      </c>
      <c r="D26" s="157"/>
      <c r="E26" s="157"/>
      <c r="F26" s="157"/>
      <c r="G26" s="157"/>
      <c r="H26" s="157"/>
      <c r="I26" s="176">
        <v>43369</v>
      </c>
      <c r="J26" s="166"/>
      <c r="K26" s="157"/>
      <c r="L26" s="157"/>
      <c r="M26" s="157"/>
      <c r="N26" s="157"/>
      <c r="O26" s="177">
        <v>43269</v>
      </c>
      <c r="P26" s="176">
        <v>43369</v>
      </c>
      <c r="Q26" s="157"/>
      <c r="R26" s="157"/>
      <c r="S26" s="157"/>
      <c r="T26" s="157"/>
      <c r="U26" s="157"/>
      <c r="V26" s="177">
        <v>43269</v>
      </c>
    </row>
    <row r="27" spans="1:22" ht="27.65" customHeight="1" x14ac:dyDescent="0.35">
      <c r="A27" s="160" t="s">
        <v>165</v>
      </c>
      <c r="B27" s="167"/>
      <c r="C27" s="162" t="s">
        <v>166</v>
      </c>
      <c r="D27" s="157"/>
      <c r="E27" s="157"/>
      <c r="F27" s="157"/>
      <c r="G27" s="157"/>
      <c r="H27" s="157"/>
      <c r="I27" s="162" t="s">
        <v>166</v>
      </c>
      <c r="J27" s="157"/>
      <c r="K27" s="157"/>
      <c r="L27" s="157"/>
      <c r="M27" s="157"/>
      <c r="N27" s="157"/>
      <c r="O27" s="162" t="s">
        <v>166</v>
      </c>
      <c r="P27" s="162" t="s">
        <v>166</v>
      </c>
      <c r="Q27" s="157"/>
      <c r="R27" s="157"/>
      <c r="S27" s="157"/>
      <c r="T27" s="157"/>
      <c r="U27" s="157"/>
      <c r="V27" s="162" t="s">
        <v>166</v>
      </c>
    </row>
    <row r="28" spans="1:22" x14ac:dyDescent="0.35">
      <c r="A28" s="225" t="s">
        <v>167</v>
      </c>
      <c r="B28" s="225"/>
      <c r="C28" s="225">
        <f>IFERROR(C25-C24,"")</f>
        <v>2353</v>
      </c>
      <c r="D28" s="225">
        <f t="shared" ref="D28:V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1825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0</v>
      </c>
      <c r="O28" s="225">
        <f t="shared" si="3"/>
        <v>2353</v>
      </c>
      <c r="P28" s="225">
        <f t="shared" si="3"/>
        <v>1825</v>
      </c>
      <c r="Q28" s="225">
        <f t="shared" si="3"/>
        <v>0</v>
      </c>
      <c r="R28" s="225">
        <f t="shared" si="3"/>
        <v>0</v>
      </c>
      <c r="S28" s="225">
        <f t="shared" si="3"/>
        <v>0</v>
      </c>
      <c r="T28" s="225">
        <f t="shared" si="3"/>
        <v>0</v>
      </c>
      <c r="U28" s="225">
        <f t="shared" si="3"/>
        <v>0</v>
      </c>
      <c r="V28" s="225">
        <f t="shared" si="3"/>
        <v>7146</v>
      </c>
    </row>
    <row r="29" spans="1:22" ht="16.399999999999999" customHeight="1" x14ac:dyDescent="0.35">
      <c r="A29" s="65" t="s">
        <v>2</v>
      </c>
      <c r="B29" s="65"/>
      <c r="C29" s="65">
        <f>AVERAGE(C21,C28,C14)</f>
        <v>2382</v>
      </c>
      <c r="D29" s="65">
        <f t="shared" ref="D29:V29" si="4">AVERAGE(D21,D28,D14)</f>
        <v>2382</v>
      </c>
      <c r="E29" s="65">
        <f t="shared" si="4"/>
        <v>0</v>
      </c>
      <c r="F29" s="65">
        <f t="shared" si="4"/>
        <v>0</v>
      </c>
      <c r="G29" s="65">
        <f t="shared" si="4"/>
        <v>0</v>
      </c>
      <c r="H29" s="65">
        <f t="shared" si="4"/>
        <v>0</v>
      </c>
      <c r="I29" s="65">
        <f t="shared" si="4"/>
        <v>2990.3333333333335</v>
      </c>
      <c r="J29" s="65">
        <f t="shared" si="4"/>
        <v>3569.3333333333335</v>
      </c>
      <c r="K29" s="65">
        <f t="shared" si="4"/>
        <v>0</v>
      </c>
      <c r="L29" s="65">
        <f t="shared" si="4"/>
        <v>0</v>
      </c>
      <c r="M29" s="65">
        <f t="shared" si="4"/>
        <v>0</v>
      </c>
      <c r="N29" s="65">
        <f t="shared" si="4"/>
        <v>0</v>
      </c>
      <c r="O29" s="65">
        <f t="shared" si="4"/>
        <v>2382</v>
      </c>
      <c r="P29" s="65">
        <f t="shared" si="4"/>
        <v>2990.3333333333335</v>
      </c>
      <c r="Q29" s="65">
        <f t="shared" si="4"/>
        <v>0</v>
      </c>
      <c r="R29" s="65">
        <f t="shared" si="4"/>
        <v>0</v>
      </c>
      <c r="S29" s="65">
        <f t="shared" si="4"/>
        <v>0</v>
      </c>
      <c r="T29" s="65">
        <f t="shared" si="4"/>
        <v>0</v>
      </c>
      <c r="U29" s="65">
        <f t="shared" si="4"/>
        <v>0</v>
      </c>
      <c r="V29" s="65">
        <f t="shared" si="4"/>
        <v>2382</v>
      </c>
    </row>
    <row r="30" spans="1:22" x14ac:dyDescent="0.35">
      <c r="A30" s="150" t="s">
        <v>159</v>
      </c>
      <c r="B30" s="151"/>
      <c r="C30" s="177">
        <v>43269</v>
      </c>
      <c r="D30" s="154"/>
      <c r="E30" s="154"/>
      <c r="F30" s="154"/>
      <c r="G30" s="154"/>
      <c r="H30" s="154"/>
      <c r="I30" s="176">
        <v>43369</v>
      </c>
      <c r="J30" s="152"/>
      <c r="K30" s="154"/>
      <c r="L30" s="154"/>
      <c r="M30" s="154"/>
      <c r="N30" s="154"/>
      <c r="O30" s="177">
        <v>43269</v>
      </c>
      <c r="P30" s="176">
        <v>43369</v>
      </c>
      <c r="Q30" s="154"/>
      <c r="R30" s="154"/>
      <c r="S30" s="152"/>
      <c r="T30" s="152"/>
      <c r="U30" s="152"/>
      <c r="V30" s="177">
        <v>43269</v>
      </c>
    </row>
    <row r="31" spans="1:22" x14ac:dyDescent="0.35">
      <c r="A31" s="155" t="s">
        <v>161</v>
      </c>
      <c r="B31" s="156" t="s">
        <v>162</v>
      </c>
      <c r="C31" s="175">
        <v>7146</v>
      </c>
      <c r="D31" s="157"/>
      <c r="E31" s="157"/>
      <c r="F31" s="157"/>
      <c r="G31" s="157"/>
      <c r="H31" s="157"/>
      <c r="I31" s="172">
        <v>8971</v>
      </c>
      <c r="J31" s="157"/>
      <c r="K31" s="157"/>
      <c r="L31" s="157"/>
      <c r="M31" s="157"/>
      <c r="N31" s="157"/>
      <c r="O31" s="175">
        <v>7146</v>
      </c>
      <c r="P31" s="172">
        <v>8971</v>
      </c>
      <c r="Q31" s="157"/>
      <c r="R31" s="157"/>
      <c r="S31" s="157"/>
      <c r="T31" s="157"/>
      <c r="U31" s="157"/>
      <c r="V31" s="175">
        <v>7146</v>
      </c>
    </row>
    <row r="32" spans="1:22" x14ac:dyDescent="0.35">
      <c r="A32" s="155" t="s">
        <v>161</v>
      </c>
      <c r="B32" s="156" t="s">
        <v>163</v>
      </c>
      <c r="C32" s="172">
        <v>8971</v>
      </c>
      <c r="D32" s="157"/>
      <c r="E32" s="157"/>
      <c r="F32" s="157"/>
      <c r="G32" s="157"/>
      <c r="H32" s="157"/>
      <c r="I32" s="175">
        <v>10708</v>
      </c>
      <c r="J32" s="157"/>
      <c r="K32" s="157"/>
      <c r="L32" s="157"/>
      <c r="M32" s="157"/>
      <c r="N32" s="157"/>
      <c r="O32" s="172">
        <v>8971</v>
      </c>
      <c r="P32" s="172">
        <v>10368</v>
      </c>
      <c r="Q32" s="157"/>
      <c r="R32" s="157"/>
      <c r="S32" s="157"/>
      <c r="T32" s="157"/>
      <c r="U32" s="157"/>
      <c r="V32" s="172">
        <v>8971</v>
      </c>
    </row>
    <row r="33" spans="1:22" x14ac:dyDescent="0.35">
      <c r="A33" s="155" t="s">
        <v>164</v>
      </c>
      <c r="B33" s="156"/>
      <c r="C33" s="176">
        <v>43369</v>
      </c>
      <c r="D33" s="157"/>
      <c r="E33" s="157"/>
      <c r="F33" s="157"/>
      <c r="G33" s="157"/>
      <c r="H33" s="157"/>
      <c r="I33" s="180">
        <v>43781</v>
      </c>
      <c r="J33" s="166"/>
      <c r="K33" s="157"/>
      <c r="L33" s="157"/>
      <c r="M33" s="157"/>
      <c r="N33" s="157"/>
      <c r="O33" s="176">
        <v>43369</v>
      </c>
      <c r="P33" s="178">
        <v>43637</v>
      </c>
      <c r="Q33" s="157"/>
      <c r="R33" s="157"/>
      <c r="S33" s="157"/>
      <c r="T33" s="157"/>
      <c r="U33" s="157"/>
      <c r="V33" s="176">
        <v>43369</v>
      </c>
    </row>
    <row r="34" spans="1:22" ht="29" x14ac:dyDescent="0.35">
      <c r="A34" s="160" t="s">
        <v>165</v>
      </c>
      <c r="B34" s="167"/>
      <c r="C34" s="162" t="s">
        <v>166</v>
      </c>
      <c r="D34" s="157"/>
      <c r="E34" s="157"/>
      <c r="F34" s="157"/>
      <c r="G34" s="157"/>
      <c r="H34" s="157"/>
      <c r="I34" s="162" t="s">
        <v>166</v>
      </c>
      <c r="J34" s="157"/>
      <c r="K34" s="157"/>
      <c r="L34" s="157"/>
      <c r="M34" s="157"/>
      <c r="N34" s="157"/>
      <c r="O34" s="162" t="s">
        <v>166</v>
      </c>
      <c r="P34" s="162" t="s">
        <v>166</v>
      </c>
      <c r="Q34" s="157"/>
      <c r="R34" s="157"/>
      <c r="S34" s="157"/>
      <c r="T34" s="157"/>
      <c r="U34" s="157"/>
      <c r="V34" s="162" t="s">
        <v>166</v>
      </c>
    </row>
    <row r="35" spans="1:22" x14ac:dyDescent="0.35">
      <c r="A35" s="225" t="s">
        <v>167</v>
      </c>
      <c r="B35" s="225"/>
      <c r="C35" s="225">
        <f>IFERROR(C32-C31,"")</f>
        <v>1825</v>
      </c>
      <c r="D35" s="225">
        <f t="shared" ref="D35:V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1737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1825</v>
      </c>
      <c r="P35" s="225">
        <f t="shared" si="5"/>
        <v>1397</v>
      </c>
      <c r="Q35" s="225">
        <f t="shared" si="5"/>
        <v>0</v>
      </c>
      <c r="R35" s="225">
        <f t="shared" si="5"/>
        <v>0</v>
      </c>
      <c r="S35" s="225">
        <f t="shared" si="5"/>
        <v>0</v>
      </c>
      <c r="T35" s="225">
        <f t="shared" si="5"/>
        <v>0</v>
      </c>
      <c r="U35" s="225">
        <f t="shared" si="5"/>
        <v>0</v>
      </c>
      <c r="V35" s="225">
        <f t="shared" si="5"/>
        <v>1825</v>
      </c>
    </row>
    <row r="36" spans="1:22" ht="16.399999999999999" customHeight="1" x14ac:dyDescent="0.35">
      <c r="A36" s="65" t="s">
        <v>2</v>
      </c>
      <c r="B36" s="65"/>
      <c r="C36" s="65">
        <f>AVERAGE(C28,C35,C21,C14)</f>
        <v>2242.75</v>
      </c>
      <c r="D36" s="65">
        <f t="shared" ref="D36:V36" si="6">AVERAGE(D28,D35,D21,D14)</f>
        <v>1786.5</v>
      </c>
      <c r="E36" s="65">
        <f t="shared" si="6"/>
        <v>0</v>
      </c>
      <c r="F36" s="65">
        <f t="shared" si="6"/>
        <v>0</v>
      </c>
      <c r="G36" s="65">
        <f t="shared" si="6"/>
        <v>0</v>
      </c>
      <c r="H36" s="65">
        <f t="shared" si="6"/>
        <v>0</v>
      </c>
      <c r="I36" s="65">
        <f t="shared" si="6"/>
        <v>2677</v>
      </c>
      <c r="J36" s="65">
        <f t="shared" si="6"/>
        <v>2677</v>
      </c>
      <c r="K36" s="65">
        <f t="shared" si="6"/>
        <v>0</v>
      </c>
      <c r="L36" s="65">
        <f t="shared" si="6"/>
        <v>0</v>
      </c>
      <c r="M36" s="65">
        <f t="shared" si="6"/>
        <v>0</v>
      </c>
      <c r="N36" s="65">
        <f t="shared" si="6"/>
        <v>0</v>
      </c>
      <c r="O36" s="65">
        <f t="shared" si="6"/>
        <v>2242.75</v>
      </c>
      <c r="P36" s="65">
        <f t="shared" si="6"/>
        <v>2592</v>
      </c>
      <c r="Q36" s="65">
        <f t="shared" si="6"/>
        <v>0</v>
      </c>
      <c r="R36" s="65">
        <f t="shared" si="6"/>
        <v>0</v>
      </c>
      <c r="S36" s="65">
        <f t="shared" si="6"/>
        <v>0</v>
      </c>
      <c r="T36" s="65">
        <f t="shared" si="6"/>
        <v>0</v>
      </c>
      <c r="U36" s="65">
        <f t="shared" si="6"/>
        <v>0</v>
      </c>
      <c r="V36" s="65">
        <f t="shared" si="6"/>
        <v>2242.75</v>
      </c>
    </row>
    <row r="37" spans="1:22" x14ac:dyDescent="0.35">
      <c r="A37" s="150" t="s">
        <v>159</v>
      </c>
      <c r="B37" s="151"/>
      <c r="C37" s="176">
        <v>43369</v>
      </c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4"/>
      <c r="O37" s="176">
        <v>43369</v>
      </c>
      <c r="P37" s="154"/>
      <c r="Q37" s="154"/>
      <c r="R37" s="154"/>
      <c r="S37" s="152"/>
      <c r="T37" s="152"/>
      <c r="U37" s="152"/>
      <c r="V37" s="176">
        <v>43369</v>
      </c>
    </row>
    <row r="38" spans="1:22" x14ac:dyDescent="0.35">
      <c r="A38" s="155" t="s">
        <v>161</v>
      </c>
      <c r="B38" s="156" t="s">
        <v>162</v>
      </c>
      <c r="C38" s="172">
        <v>8971</v>
      </c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72">
        <v>8971</v>
      </c>
      <c r="P38" s="157"/>
      <c r="Q38" s="157"/>
      <c r="R38" s="157"/>
      <c r="S38" s="157"/>
      <c r="T38" s="157"/>
      <c r="U38" s="157"/>
      <c r="V38" s="172">
        <v>8971</v>
      </c>
    </row>
    <row r="39" spans="1:22" x14ac:dyDescent="0.35">
      <c r="A39" s="155" t="s">
        <v>161</v>
      </c>
      <c r="B39" s="156" t="s">
        <v>163</v>
      </c>
      <c r="C39" s="175">
        <v>10708</v>
      </c>
      <c r="D39" s="157"/>
      <c r="E39" s="157"/>
      <c r="F39" s="157"/>
      <c r="G39" s="157"/>
      <c r="H39" s="157"/>
      <c r="I39" s="175">
        <v>10847</v>
      </c>
      <c r="J39" s="157"/>
      <c r="K39" s="157"/>
      <c r="L39" s="157"/>
      <c r="M39" s="157"/>
      <c r="N39" s="157"/>
      <c r="O39" s="172">
        <v>10368</v>
      </c>
      <c r="P39" s="175">
        <v>10847</v>
      </c>
      <c r="Q39" s="157"/>
      <c r="R39" s="157"/>
      <c r="S39" s="157"/>
      <c r="T39" s="157"/>
      <c r="U39" s="157"/>
      <c r="V39" s="172">
        <v>10368</v>
      </c>
    </row>
    <row r="40" spans="1:22" x14ac:dyDescent="0.35">
      <c r="A40" s="155" t="s">
        <v>164</v>
      </c>
      <c r="B40" s="156"/>
      <c r="C40" s="180">
        <v>43781</v>
      </c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78">
        <v>43637</v>
      </c>
      <c r="P40" s="157"/>
      <c r="Q40" s="157"/>
      <c r="R40" s="157"/>
      <c r="S40" s="157"/>
      <c r="T40" s="157"/>
      <c r="U40" s="157"/>
      <c r="V40" s="178">
        <v>43637</v>
      </c>
    </row>
    <row r="41" spans="1:22" ht="29" x14ac:dyDescent="0.35">
      <c r="A41" s="160" t="s">
        <v>165</v>
      </c>
      <c r="B41" s="167"/>
      <c r="C41" s="162" t="s">
        <v>166</v>
      </c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62" t="s">
        <v>166</v>
      </c>
      <c r="P41" s="157"/>
      <c r="Q41" s="157"/>
      <c r="R41" s="157"/>
      <c r="S41" s="157"/>
      <c r="T41" s="157"/>
      <c r="U41" s="157"/>
      <c r="V41" s="162" t="s">
        <v>166</v>
      </c>
    </row>
    <row r="42" spans="1:22" x14ac:dyDescent="0.35">
      <c r="A42" s="225" t="s">
        <v>167</v>
      </c>
      <c r="B42" s="225"/>
      <c r="C42" s="225">
        <f>IFERROR(C39-C38,"")</f>
        <v>1737</v>
      </c>
      <c r="D42" s="225">
        <f t="shared" ref="D42:V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10847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1397</v>
      </c>
      <c r="P42" s="225">
        <f t="shared" si="7"/>
        <v>10847</v>
      </c>
      <c r="Q42" s="225">
        <f t="shared" si="7"/>
        <v>0</v>
      </c>
      <c r="R42" s="225">
        <f t="shared" si="7"/>
        <v>0</v>
      </c>
      <c r="S42" s="225">
        <f t="shared" si="7"/>
        <v>0</v>
      </c>
      <c r="T42" s="225">
        <f t="shared" si="7"/>
        <v>0</v>
      </c>
      <c r="U42" s="225">
        <f t="shared" si="7"/>
        <v>0</v>
      </c>
      <c r="V42" s="225">
        <f t="shared" si="7"/>
        <v>1397</v>
      </c>
    </row>
    <row r="43" spans="1:22" ht="16.399999999999999" customHeight="1" x14ac:dyDescent="0.35">
      <c r="A43" s="65" t="s">
        <v>2</v>
      </c>
      <c r="B43" s="65"/>
      <c r="C43" s="65">
        <f>AVERAGE(C35,C42,C28,C21,C14)</f>
        <v>2141.6</v>
      </c>
      <c r="D43" s="65">
        <f t="shared" ref="D43:V43" si="8">AVERAGE(D35,D42,D28,D21,D14)</f>
        <v>1429.2</v>
      </c>
      <c r="E43" s="65">
        <f t="shared" si="8"/>
        <v>0</v>
      </c>
      <c r="F43" s="65">
        <f t="shared" si="8"/>
        <v>0</v>
      </c>
      <c r="G43" s="65">
        <f t="shared" si="8"/>
        <v>0</v>
      </c>
      <c r="H43" s="65">
        <f t="shared" si="8"/>
        <v>0</v>
      </c>
      <c r="I43" s="65">
        <f t="shared" si="8"/>
        <v>4311</v>
      </c>
      <c r="J43" s="65">
        <f t="shared" si="8"/>
        <v>2141.6</v>
      </c>
      <c r="K43" s="65">
        <f t="shared" si="8"/>
        <v>0</v>
      </c>
      <c r="L43" s="65">
        <f t="shared" si="8"/>
        <v>0</v>
      </c>
      <c r="M43" s="65">
        <f t="shared" si="8"/>
        <v>0</v>
      </c>
      <c r="N43" s="65">
        <f t="shared" si="8"/>
        <v>0</v>
      </c>
      <c r="O43" s="65">
        <f t="shared" si="8"/>
        <v>2073.6</v>
      </c>
      <c r="P43" s="65">
        <f t="shared" si="8"/>
        <v>4243</v>
      </c>
      <c r="Q43" s="65">
        <f t="shared" si="8"/>
        <v>0</v>
      </c>
      <c r="R43" s="65">
        <f t="shared" si="8"/>
        <v>0</v>
      </c>
      <c r="S43" s="65">
        <f t="shared" si="8"/>
        <v>0</v>
      </c>
      <c r="T43" s="65">
        <f t="shared" si="8"/>
        <v>0</v>
      </c>
      <c r="U43" s="65">
        <f t="shared" si="8"/>
        <v>0</v>
      </c>
      <c r="V43" s="65">
        <f t="shared" si="8"/>
        <v>2073.6</v>
      </c>
    </row>
    <row r="44" spans="1:22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4"/>
      <c r="O44" s="178">
        <v>43637</v>
      </c>
      <c r="P44" s="154"/>
      <c r="Q44" s="154"/>
      <c r="R44" s="154"/>
      <c r="S44" s="152"/>
      <c r="T44" s="152"/>
      <c r="U44" s="152"/>
      <c r="V44" s="178">
        <v>43637</v>
      </c>
    </row>
    <row r="45" spans="1:22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72">
        <v>10368</v>
      </c>
      <c r="P45" s="157"/>
      <c r="Q45" s="157"/>
      <c r="R45" s="157"/>
      <c r="S45" s="157"/>
      <c r="T45" s="157"/>
      <c r="U45" s="157"/>
      <c r="V45" s="172">
        <v>10368</v>
      </c>
    </row>
    <row r="46" spans="1:22" x14ac:dyDescent="0.35">
      <c r="A46" s="155" t="s">
        <v>161</v>
      </c>
      <c r="B46" s="156" t="s">
        <v>163</v>
      </c>
      <c r="C46" s="175">
        <v>10847</v>
      </c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75">
        <v>10708</v>
      </c>
      <c r="P46" s="157"/>
      <c r="Q46" s="157"/>
      <c r="R46" s="157"/>
      <c r="S46" s="157"/>
      <c r="T46" s="157"/>
      <c r="U46" s="157"/>
      <c r="V46" s="175">
        <v>10708</v>
      </c>
    </row>
    <row r="47" spans="1:22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80">
        <v>43781</v>
      </c>
      <c r="P47" s="157"/>
      <c r="Q47" s="157"/>
      <c r="R47" s="157"/>
      <c r="S47" s="157"/>
      <c r="T47" s="157"/>
      <c r="U47" s="157"/>
      <c r="V47" s="180">
        <v>43781</v>
      </c>
    </row>
    <row r="48" spans="1:22" ht="29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62" t="s">
        <v>166</v>
      </c>
      <c r="P48" s="157"/>
      <c r="Q48" s="157"/>
      <c r="R48" s="157"/>
      <c r="S48" s="157"/>
      <c r="T48" s="157"/>
      <c r="U48" s="157"/>
      <c r="V48" s="162" t="s">
        <v>166</v>
      </c>
    </row>
    <row r="49" spans="1:22" x14ac:dyDescent="0.35">
      <c r="A49" s="225" t="s">
        <v>167</v>
      </c>
      <c r="B49" s="225"/>
      <c r="C49" s="225">
        <f>IFERROR(C46-C45,"")</f>
        <v>10847</v>
      </c>
      <c r="D49" s="225">
        <f t="shared" ref="D49:V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340</v>
      </c>
      <c r="P49" s="225">
        <f t="shared" si="9"/>
        <v>0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  <c r="V49" s="225">
        <f t="shared" si="9"/>
        <v>340</v>
      </c>
    </row>
    <row r="50" spans="1:22" ht="16.399999999999999" customHeight="1" x14ac:dyDescent="0.35">
      <c r="A50" s="65" t="s">
        <v>2</v>
      </c>
      <c r="B50" s="65"/>
      <c r="C50" s="65">
        <f>AVERAGE(C42,C49,C35,C28,C21,C14)</f>
        <v>3592.5</v>
      </c>
      <c r="D50" s="65">
        <f t="shared" ref="D50:V50" si="10">AVERAGE(D42,D49,D35,D28,D21,D14)</f>
        <v>1191</v>
      </c>
      <c r="E50" s="65">
        <f t="shared" si="10"/>
        <v>0</v>
      </c>
      <c r="F50" s="65">
        <f t="shared" si="10"/>
        <v>0</v>
      </c>
      <c r="G50" s="65">
        <f t="shared" si="10"/>
        <v>0</v>
      </c>
      <c r="H50" s="65">
        <f t="shared" si="10"/>
        <v>0</v>
      </c>
      <c r="I50" s="65">
        <f t="shared" si="10"/>
        <v>3592.5</v>
      </c>
      <c r="J50" s="65">
        <f t="shared" si="10"/>
        <v>1784.6666666666667</v>
      </c>
      <c r="K50" s="65">
        <f t="shared" si="10"/>
        <v>0</v>
      </c>
      <c r="L50" s="65">
        <f t="shared" si="10"/>
        <v>0</v>
      </c>
      <c r="M50" s="65">
        <f t="shared" si="10"/>
        <v>0</v>
      </c>
      <c r="N50" s="65">
        <f t="shared" si="10"/>
        <v>0</v>
      </c>
      <c r="O50" s="65">
        <f t="shared" si="10"/>
        <v>1784.6666666666667</v>
      </c>
      <c r="P50" s="65">
        <f t="shared" si="10"/>
        <v>3535.8333333333335</v>
      </c>
      <c r="Q50" s="65">
        <f t="shared" si="10"/>
        <v>0</v>
      </c>
      <c r="R50" s="65">
        <f t="shared" si="10"/>
        <v>0</v>
      </c>
      <c r="S50" s="65">
        <f t="shared" si="10"/>
        <v>0</v>
      </c>
      <c r="T50" s="65">
        <f t="shared" si="10"/>
        <v>0</v>
      </c>
      <c r="U50" s="65">
        <f t="shared" si="10"/>
        <v>0</v>
      </c>
      <c r="V50" s="65">
        <f t="shared" si="10"/>
        <v>1784.6666666666667</v>
      </c>
    </row>
    <row r="51" spans="1:22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4"/>
      <c r="O51" s="154"/>
      <c r="P51" s="154"/>
      <c r="Q51" s="154"/>
      <c r="R51" s="154"/>
      <c r="S51" s="152"/>
      <c r="T51" s="152"/>
      <c r="U51" s="152"/>
      <c r="V51" s="154"/>
    </row>
    <row r="52" spans="1:22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</row>
    <row r="53" spans="1:22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75">
        <v>10847</v>
      </c>
      <c r="P53" s="157"/>
      <c r="Q53" s="157"/>
      <c r="R53" s="157"/>
      <c r="S53" s="157"/>
      <c r="T53" s="157"/>
      <c r="U53" s="157"/>
      <c r="V53" s="175">
        <v>10847</v>
      </c>
    </row>
    <row r="54" spans="1:22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</row>
    <row r="55" spans="1:22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</row>
    <row r="56" spans="1:22" x14ac:dyDescent="0.35">
      <c r="A56" s="225" t="s">
        <v>167</v>
      </c>
      <c r="B56" s="225"/>
      <c r="C56" s="225">
        <f>IFERROR(C53-C52,"")</f>
        <v>0</v>
      </c>
      <c r="D56" s="225">
        <f t="shared" ref="D56:V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10847</v>
      </c>
      <c r="P56" s="225">
        <f t="shared" si="11"/>
        <v>0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  <c r="V56" s="225">
        <f t="shared" si="11"/>
        <v>10847</v>
      </c>
    </row>
    <row r="57" spans="1:22" ht="16.399999999999999" customHeight="1" x14ac:dyDescent="0.35">
      <c r="A57" s="65" t="s">
        <v>2</v>
      </c>
      <c r="B57" s="65"/>
      <c r="C57" s="65">
        <f>AVERAGE(C49,C56,C42,C35,C28,C21,C14)</f>
        <v>3079.2857142857142</v>
      </c>
      <c r="D57" s="65">
        <f t="shared" ref="D57:V57" si="12">AVERAGE(D49,D56,D42,D35,D28,D21,D14)</f>
        <v>1020.8571428571429</v>
      </c>
      <c r="E57" s="65">
        <f t="shared" si="12"/>
        <v>0</v>
      </c>
      <c r="F57" s="65">
        <f t="shared" si="12"/>
        <v>0</v>
      </c>
      <c r="G57" s="65">
        <f t="shared" si="12"/>
        <v>0</v>
      </c>
      <c r="H57" s="65">
        <f t="shared" si="12"/>
        <v>0</v>
      </c>
      <c r="I57" s="65">
        <f t="shared" si="12"/>
        <v>3079.2857142857142</v>
      </c>
      <c r="J57" s="65">
        <f t="shared" si="12"/>
        <v>1529.7142857142858</v>
      </c>
      <c r="K57" s="65">
        <f t="shared" si="12"/>
        <v>0</v>
      </c>
      <c r="L57" s="65">
        <f t="shared" si="12"/>
        <v>0</v>
      </c>
      <c r="M57" s="65">
        <f t="shared" si="12"/>
        <v>0</v>
      </c>
      <c r="N57" s="65">
        <f t="shared" si="12"/>
        <v>0</v>
      </c>
      <c r="O57" s="65">
        <f t="shared" si="12"/>
        <v>3079.2857142857142</v>
      </c>
      <c r="P57" s="65">
        <f t="shared" si="12"/>
        <v>3030.7142857142858</v>
      </c>
      <c r="Q57" s="65">
        <f t="shared" si="12"/>
        <v>0</v>
      </c>
      <c r="R57" s="65">
        <f t="shared" si="12"/>
        <v>0</v>
      </c>
      <c r="S57" s="65">
        <f t="shared" si="12"/>
        <v>0</v>
      </c>
      <c r="T57" s="65">
        <f t="shared" si="12"/>
        <v>0</v>
      </c>
      <c r="U57" s="65">
        <f t="shared" si="12"/>
        <v>0</v>
      </c>
      <c r="V57" s="65">
        <f t="shared" si="12"/>
        <v>3079.2857142857142</v>
      </c>
    </row>
    <row r="58" spans="1:22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4"/>
      <c r="O58" s="154"/>
      <c r="P58" s="154"/>
      <c r="Q58" s="154"/>
      <c r="R58" s="154"/>
      <c r="S58" s="152"/>
      <c r="T58" s="152"/>
      <c r="U58" s="152"/>
      <c r="V58" s="154"/>
    </row>
    <row r="59" spans="1:22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</row>
    <row r="60" spans="1:22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</row>
    <row r="61" spans="1:22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</row>
    <row r="62" spans="1:22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</row>
    <row r="63" spans="1:22" x14ac:dyDescent="0.35">
      <c r="A63" s="225" t="s">
        <v>167</v>
      </c>
      <c r="B63" s="225"/>
      <c r="C63" s="225">
        <f>IFERROR(C60-C59,"")</f>
        <v>0</v>
      </c>
      <c r="D63" s="225">
        <f t="shared" ref="D63:V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  <c r="V63" s="225">
        <f t="shared" si="13"/>
        <v>0</v>
      </c>
    </row>
    <row r="64" spans="1:22" ht="16.399999999999999" customHeight="1" x14ac:dyDescent="0.35">
      <c r="A64" s="65" t="s">
        <v>2</v>
      </c>
      <c r="B64" s="65"/>
      <c r="C64" s="65">
        <f>AVERAGE(C56,C63,C49,C42,C35,C28,C21,C14)</f>
        <v>2694.375</v>
      </c>
      <c r="D64" s="65">
        <f t="shared" ref="D64:V64" si="14">AVERAGE(D56,D63,D49,D42,D35,D28,D21,D14)</f>
        <v>893.25</v>
      </c>
      <c r="E64" s="65">
        <f t="shared" si="14"/>
        <v>0</v>
      </c>
      <c r="F64" s="65">
        <f t="shared" si="14"/>
        <v>0</v>
      </c>
      <c r="G64" s="65">
        <f t="shared" si="14"/>
        <v>0</v>
      </c>
      <c r="H64" s="65">
        <f t="shared" si="14"/>
        <v>0</v>
      </c>
      <c r="I64" s="65">
        <f t="shared" si="14"/>
        <v>2694.375</v>
      </c>
      <c r="J64" s="65">
        <f t="shared" si="14"/>
        <v>1338.5</v>
      </c>
      <c r="K64" s="65">
        <f t="shared" si="14"/>
        <v>0</v>
      </c>
      <c r="L64" s="65">
        <f t="shared" si="14"/>
        <v>0</v>
      </c>
      <c r="M64" s="65">
        <f t="shared" si="14"/>
        <v>0</v>
      </c>
      <c r="N64" s="65">
        <f t="shared" si="14"/>
        <v>0</v>
      </c>
      <c r="O64" s="65">
        <f t="shared" si="14"/>
        <v>2694.375</v>
      </c>
      <c r="P64" s="65">
        <f t="shared" si="14"/>
        <v>2651.875</v>
      </c>
      <c r="Q64" s="65">
        <f t="shared" si="14"/>
        <v>0</v>
      </c>
      <c r="R64" s="65">
        <f t="shared" si="14"/>
        <v>0</v>
      </c>
      <c r="S64" s="65">
        <f t="shared" si="14"/>
        <v>0</v>
      </c>
      <c r="T64" s="65">
        <f t="shared" si="14"/>
        <v>0</v>
      </c>
      <c r="U64" s="65">
        <f t="shared" si="14"/>
        <v>0</v>
      </c>
      <c r="V64" s="65">
        <f t="shared" si="14"/>
        <v>2694.375</v>
      </c>
    </row>
  </sheetData>
  <sheetProtection algorithmName="SHA-512" hashValue="7MNapaitywK0lKshhZVoD3lV0DBclM/2/qeOBAb69pCfC92L3XdEc9Ecs0chqucnmqAdFtv8lAQb5Ms3BrV11A==" saltValue="ZcTQIgMRg3+2b4NLc6prIQ==" spinCount="100000" sheet="1" objects="1" scenarios="1"/>
  <autoFilter ref="A2:V64" xr:uid="{00000000-0009-0000-0000-00000F000000}"/>
  <mergeCells count="2">
    <mergeCell ref="A7:B7"/>
    <mergeCell ref="A8:B8"/>
  </mergeCells>
  <conditionalFormatting sqref="D15">
    <cfRule type="expression" dxfId="921" priority="71">
      <formula>D15&lt;D16</formula>
    </cfRule>
    <cfRule type="expression" dxfId="920" priority="72">
      <formula>D15&gt;$C$17</formula>
    </cfRule>
  </conditionalFormatting>
  <conditionalFormatting sqref="E15">
    <cfRule type="expression" dxfId="919" priority="69" stopIfTrue="1">
      <formula>E15&lt;E16</formula>
    </cfRule>
    <cfRule type="expression" dxfId="918" priority="70" stopIfTrue="1">
      <formula>E15&gt;$C$17</formula>
    </cfRule>
  </conditionalFormatting>
  <conditionalFormatting sqref="F15 H15:N15">
    <cfRule type="expression" dxfId="917" priority="67">
      <formula>F15&lt;F16</formula>
    </cfRule>
    <cfRule type="expression" dxfId="916" priority="68">
      <formula>F15&gt;F16</formula>
    </cfRule>
  </conditionalFormatting>
  <conditionalFormatting sqref="G15">
    <cfRule type="expression" dxfId="915" priority="65">
      <formula>G15&lt;G16</formula>
    </cfRule>
    <cfRule type="expression" dxfId="914" priority="66">
      <formula>G15&gt;G16</formula>
    </cfRule>
  </conditionalFormatting>
  <conditionalFormatting sqref="C15 O15:V15">
    <cfRule type="expression" dxfId="913" priority="447">
      <formula>C15&lt;C16</formula>
    </cfRule>
    <cfRule type="expression" dxfId="912" priority="448">
      <formula>C15&gt;#REF!</formula>
    </cfRule>
  </conditionalFormatting>
  <conditionalFormatting sqref="D22">
    <cfRule type="expression" dxfId="911" priority="449">
      <formula>D22&lt;#REF!</formula>
    </cfRule>
    <cfRule type="expression" dxfId="910" priority="450">
      <formula>D22&gt;$C$17</formula>
    </cfRule>
  </conditionalFormatting>
  <conditionalFormatting sqref="E22">
    <cfRule type="expression" dxfId="909" priority="451" stopIfTrue="1">
      <formula>E22&lt;#REF!</formula>
    </cfRule>
    <cfRule type="expression" dxfId="908" priority="452" stopIfTrue="1">
      <formula>E22&gt;$C$17</formula>
    </cfRule>
  </conditionalFormatting>
  <conditionalFormatting sqref="C22:V22">
    <cfRule type="expression" dxfId="907" priority="453">
      <formula>C22&lt;#REF!</formula>
    </cfRule>
    <cfRule type="expression" dxfId="906" priority="454">
      <formula>C22&gt;#REF!</formula>
    </cfRule>
  </conditionalFormatting>
  <conditionalFormatting sqref="D29">
    <cfRule type="expression" dxfId="905" priority="43">
      <formula>D29&lt;#REF!</formula>
    </cfRule>
    <cfRule type="expression" dxfId="904" priority="44">
      <formula>D29&gt;$C$17</formula>
    </cfRule>
  </conditionalFormatting>
  <conditionalFormatting sqref="E29">
    <cfRule type="expression" dxfId="903" priority="45" stopIfTrue="1">
      <formula>E29&lt;#REF!</formula>
    </cfRule>
    <cfRule type="expression" dxfId="902" priority="46" stopIfTrue="1">
      <formula>E29&gt;$C$17</formula>
    </cfRule>
  </conditionalFormatting>
  <conditionalFormatting sqref="F29:V29">
    <cfRule type="expression" dxfId="901" priority="47">
      <formula>F29&lt;#REF!</formula>
    </cfRule>
    <cfRule type="expression" dxfId="900" priority="48">
      <formula>F29&gt;#REF!</formula>
    </cfRule>
  </conditionalFormatting>
  <conditionalFormatting sqref="D36">
    <cfRule type="expression" dxfId="899" priority="37">
      <formula>D36&lt;#REF!</formula>
    </cfRule>
    <cfRule type="expression" dxfId="898" priority="38">
      <formula>D36&gt;$C$17</formula>
    </cfRule>
  </conditionalFormatting>
  <conditionalFormatting sqref="E36">
    <cfRule type="expression" dxfId="897" priority="39" stopIfTrue="1">
      <formula>E36&lt;#REF!</formula>
    </cfRule>
    <cfRule type="expression" dxfId="896" priority="40" stopIfTrue="1">
      <formula>E36&gt;$C$17</formula>
    </cfRule>
  </conditionalFormatting>
  <conditionalFormatting sqref="F36:V36">
    <cfRule type="expression" dxfId="895" priority="41">
      <formula>F36&lt;#REF!</formula>
    </cfRule>
    <cfRule type="expression" dxfId="894" priority="42">
      <formula>F36&gt;#REF!</formula>
    </cfRule>
  </conditionalFormatting>
  <conditionalFormatting sqref="D43">
    <cfRule type="expression" dxfId="893" priority="31">
      <formula>D43&lt;#REF!</formula>
    </cfRule>
    <cfRule type="expression" dxfId="892" priority="32">
      <formula>D43&gt;$C$17</formula>
    </cfRule>
  </conditionalFormatting>
  <conditionalFormatting sqref="E43">
    <cfRule type="expression" dxfId="891" priority="33" stopIfTrue="1">
      <formula>E43&lt;#REF!</formula>
    </cfRule>
    <cfRule type="expression" dxfId="890" priority="34" stopIfTrue="1">
      <formula>E43&gt;$C$17</formula>
    </cfRule>
  </conditionalFormatting>
  <conditionalFormatting sqref="F43:V43">
    <cfRule type="expression" dxfId="889" priority="35">
      <formula>F43&lt;#REF!</formula>
    </cfRule>
    <cfRule type="expression" dxfId="888" priority="36">
      <formula>F43&gt;#REF!</formula>
    </cfRule>
  </conditionalFormatting>
  <conditionalFormatting sqref="D50">
    <cfRule type="expression" dxfId="887" priority="25">
      <formula>D50&lt;#REF!</formula>
    </cfRule>
    <cfRule type="expression" dxfId="886" priority="26">
      <formula>D50&gt;$C$17</formula>
    </cfRule>
  </conditionalFormatting>
  <conditionalFormatting sqref="E50">
    <cfRule type="expression" dxfId="885" priority="27" stopIfTrue="1">
      <formula>E50&lt;#REF!</formula>
    </cfRule>
    <cfRule type="expression" dxfId="884" priority="28" stopIfTrue="1">
      <formula>E50&gt;$C$17</formula>
    </cfRule>
  </conditionalFormatting>
  <conditionalFormatting sqref="F50:V50">
    <cfRule type="expression" dxfId="883" priority="29">
      <formula>F50&lt;#REF!</formula>
    </cfRule>
    <cfRule type="expression" dxfId="882" priority="30">
      <formula>F50&gt;#REF!</formula>
    </cfRule>
  </conditionalFormatting>
  <conditionalFormatting sqref="D57">
    <cfRule type="expression" dxfId="881" priority="19">
      <formula>D57&lt;#REF!</formula>
    </cfRule>
    <cfRule type="expression" dxfId="880" priority="20">
      <formula>D57&gt;$C$17</formula>
    </cfRule>
  </conditionalFormatting>
  <conditionalFormatting sqref="E57">
    <cfRule type="expression" dxfId="879" priority="21" stopIfTrue="1">
      <formula>E57&lt;#REF!</formula>
    </cfRule>
    <cfRule type="expression" dxfId="878" priority="22" stopIfTrue="1">
      <formula>E57&gt;$C$17</formula>
    </cfRule>
  </conditionalFormatting>
  <conditionalFormatting sqref="F57:V57">
    <cfRule type="expression" dxfId="877" priority="23">
      <formula>F57&lt;#REF!</formula>
    </cfRule>
    <cfRule type="expression" dxfId="876" priority="24">
      <formula>F57&gt;#REF!</formula>
    </cfRule>
  </conditionalFormatting>
  <conditionalFormatting sqref="D64">
    <cfRule type="expression" dxfId="875" priority="13">
      <formula>D64&lt;#REF!</formula>
    </cfRule>
    <cfRule type="expression" dxfId="874" priority="14">
      <formula>D64&gt;$C$17</formula>
    </cfRule>
  </conditionalFormatting>
  <conditionalFormatting sqref="E64">
    <cfRule type="expression" dxfId="873" priority="15" stopIfTrue="1">
      <formula>E64&lt;#REF!</formula>
    </cfRule>
    <cfRule type="expression" dxfId="872" priority="16" stopIfTrue="1">
      <formula>E64&gt;$C$17</formula>
    </cfRule>
  </conditionalFormatting>
  <conditionalFormatting sqref="F64:V64">
    <cfRule type="expression" dxfId="871" priority="17">
      <formula>F64&lt;#REF!</formula>
    </cfRule>
    <cfRule type="expression" dxfId="870" priority="18">
      <formula>F64&gt;#REF!</formula>
    </cfRule>
  </conditionalFormatting>
  <conditionalFormatting sqref="C29:V29">
    <cfRule type="expression" dxfId="869" priority="11">
      <formula>C29&lt;#REF!</formula>
    </cfRule>
    <cfRule type="expression" dxfId="868" priority="12">
      <formula>C29&gt;#REF!</formula>
    </cfRule>
  </conditionalFormatting>
  <conditionalFormatting sqref="C36:V36">
    <cfRule type="expression" dxfId="867" priority="9">
      <formula>C36&lt;#REF!</formula>
    </cfRule>
    <cfRule type="expression" dxfId="866" priority="10">
      <formula>C36&gt;#REF!</formula>
    </cfRule>
  </conditionalFormatting>
  <conditionalFormatting sqref="C43:V43">
    <cfRule type="expression" dxfId="865" priority="7">
      <formula>C43&lt;#REF!</formula>
    </cfRule>
    <cfRule type="expression" dxfId="864" priority="8">
      <formula>C43&gt;#REF!</formula>
    </cfRule>
  </conditionalFormatting>
  <conditionalFormatting sqref="C50:V50">
    <cfRule type="expression" dxfId="863" priority="5">
      <formula>C50&lt;#REF!</formula>
    </cfRule>
    <cfRule type="expression" dxfId="862" priority="6">
      <formula>C50&gt;#REF!</formula>
    </cfRule>
  </conditionalFormatting>
  <conditionalFormatting sqref="C57:V57">
    <cfRule type="expression" dxfId="861" priority="3">
      <formula>C57&lt;#REF!</formula>
    </cfRule>
    <cfRule type="expression" dxfId="860" priority="4">
      <formula>C57&gt;#REF!</formula>
    </cfRule>
  </conditionalFormatting>
  <conditionalFormatting sqref="C64:V64">
    <cfRule type="expression" dxfId="859" priority="1">
      <formula>C64&lt;#REF!</formula>
    </cfRule>
    <cfRule type="expression" dxfId="858" priority="2">
      <formula>C64&gt;#REF!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5"/>
  <dimension ref="A1:W71"/>
  <sheetViews>
    <sheetView topLeftCell="J13" zoomScale="65" workbookViewId="0">
      <selection activeCell="N42" sqref="N42"/>
    </sheetView>
  </sheetViews>
  <sheetFormatPr defaultColWidth="8.81640625" defaultRowHeight="14.5" x14ac:dyDescent="0.35"/>
  <cols>
    <col min="1" max="1" width="16.1796875" customWidth="1"/>
    <col min="2" max="2" width="5.1796875" customWidth="1"/>
    <col min="3" max="3" width="18.81640625" customWidth="1"/>
    <col min="4" max="4" width="17.1796875" bestFit="1" customWidth="1"/>
    <col min="5" max="5" width="21" customWidth="1"/>
    <col min="6" max="6" width="20.81640625" customWidth="1"/>
    <col min="7" max="7" width="30" customWidth="1"/>
    <col min="8" max="8" width="26.1796875" customWidth="1"/>
    <col min="9" max="9" width="21.81640625" customWidth="1"/>
    <col min="10" max="12" width="17.1796875" bestFit="1" customWidth="1"/>
    <col min="13" max="13" width="18.81640625" bestFit="1" customWidth="1"/>
    <col min="14" max="14" width="16.81640625" bestFit="1" customWidth="1"/>
    <col min="15" max="15" width="19.54296875" customWidth="1"/>
    <col min="16" max="23" width="17.1796875" bestFit="1" customWidth="1"/>
  </cols>
  <sheetData>
    <row r="1" spans="1:23" ht="24" thickBot="1" x14ac:dyDescent="0.4">
      <c r="A1" s="186"/>
    </row>
    <row r="2" spans="1:23" x14ac:dyDescent="0.35">
      <c r="E2" s="130" t="s">
        <v>375</v>
      </c>
      <c r="F2" s="131"/>
      <c r="G2" s="131" t="s">
        <v>104</v>
      </c>
      <c r="H2" s="131"/>
      <c r="I2" s="132"/>
    </row>
    <row r="3" spans="1:23" x14ac:dyDescent="0.35">
      <c r="E3" s="133"/>
      <c r="F3" s="134" t="s">
        <v>376</v>
      </c>
      <c r="G3" s="135"/>
      <c r="H3" s="134"/>
      <c r="I3" s="136"/>
    </row>
    <row r="4" spans="1:23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23" ht="30.65" customHeight="1" x14ac:dyDescent="0.35">
      <c r="A5" s="141" t="s">
        <v>377</v>
      </c>
      <c r="B5" t="s">
        <v>378</v>
      </c>
    </row>
    <row r="6" spans="1:23" ht="28.4" customHeight="1" x14ac:dyDescent="0.35">
      <c r="A6" s="142" t="s">
        <v>200</v>
      </c>
      <c r="B6" s="169"/>
      <c r="C6" s="142" t="s">
        <v>379</v>
      </c>
      <c r="D6" s="142" t="s">
        <v>202</v>
      </c>
      <c r="E6" s="142" t="s">
        <v>203</v>
      </c>
      <c r="F6" s="142" t="s">
        <v>204</v>
      </c>
      <c r="G6" s="143" t="s">
        <v>205</v>
      </c>
      <c r="H6" s="143" t="s">
        <v>206</v>
      </c>
      <c r="I6" s="143" t="s">
        <v>380</v>
      </c>
      <c r="J6" s="142" t="s">
        <v>208</v>
      </c>
      <c r="K6" s="142" t="s">
        <v>381</v>
      </c>
      <c r="L6" s="142" t="s">
        <v>382</v>
      </c>
      <c r="M6" s="142" t="s">
        <v>383</v>
      </c>
      <c r="N6" s="142" t="s">
        <v>384</v>
      </c>
      <c r="O6" s="142" t="s">
        <v>385</v>
      </c>
      <c r="P6" s="144" t="s">
        <v>386</v>
      </c>
      <c r="Q6" s="144" t="s">
        <v>84</v>
      </c>
      <c r="R6" s="144" t="s">
        <v>387</v>
      </c>
      <c r="S6" s="144" t="s">
        <v>211</v>
      </c>
      <c r="T6" s="144" t="s">
        <v>212</v>
      </c>
      <c r="U6" s="144" t="s">
        <v>388</v>
      </c>
      <c r="V6" s="144" t="s">
        <v>83</v>
      </c>
      <c r="W6" s="144" t="s">
        <v>213</v>
      </c>
    </row>
    <row r="7" spans="1:23" x14ac:dyDescent="0.35">
      <c r="A7" s="252" t="s">
        <v>137</v>
      </c>
      <c r="B7" s="252"/>
      <c r="C7" s="145" t="s">
        <v>140</v>
      </c>
      <c r="D7" s="145" t="s">
        <v>141</v>
      </c>
      <c r="E7" s="145" t="s">
        <v>214</v>
      </c>
      <c r="F7" s="145" t="s">
        <v>215</v>
      </c>
      <c r="G7" s="145" t="s">
        <v>142</v>
      </c>
      <c r="H7" s="145" t="s">
        <v>143</v>
      </c>
      <c r="I7" s="145" t="s">
        <v>144</v>
      </c>
      <c r="J7" s="145" t="s">
        <v>145</v>
      </c>
      <c r="K7" s="145" t="s">
        <v>389</v>
      </c>
      <c r="L7" s="145" t="s">
        <v>390</v>
      </c>
      <c r="M7" s="145" t="s">
        <v>391</v>
      </c>
      <c r="N7" s="145" t="s">
        <v>216</v>
      </c>
      <c r="O7" s="145" t="s">
        <v>392</v>
      </c>
      <c r="P7" s="145" t="s">
        <v>393</v>
      </c>
      <c r="Q7" s="145" t="s">
        <v>394</v>
      </c>
      <c r="R7" s="145" t="s">
        <v>395</v>
      </c>
      <c r="S7" s="145" t="s">
        <v>217</v>
      </c>
      <c r="T7" s="145" t="s">
        <v>218</v>
      </c>
      <c r="U7" s="145" t="s">
        <v>396</v>
      </c>
      <c r="V7" s="145" t="s">
        <v>397</v>
      </c>
      <c r="W7" s="145" t="s">
        <v>398</v>
      </c>
    </row>
    <row r="8" spans="1:23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2</v>
      </c>
      <c r="K8" s="147">
        <v>1</v>
      </c>
      <c r="L8" s="147">
        <v>1</v>
      </c>
      <c r="M8" s="147">
        <v>1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4</v>
      </c>
      <c r="U8" s="147">
        <v>1</v>
      </c>
      <c r="V8" s="147">
        <v>1</v>
      </c>
      <c r="W8" s="147">
        <v>1</v>
      </c>
    </row>
    <row r="9" spans="1:23" x14ac:dyDescent="0.35">
      <c r="A9" s="150" t="s">
        <v>159</v>
      </c>
      <c r="B9" s="151"/>
      <c r="C9" s="173" t="s">
        <v>225</v>
      </c>
      <c r="D9" s="152"/>
      <c r="E9" s="173" t="s">
        <v>225</v>
      </c>
      <c r="F9" s="152"/>
      <c r="G9" s="152"/>
      <c r="H9" s="152"/>
      <c r="I9" s="173" t="s">
        <v>225</v>
      </c>
      <c r="J9" s="173" t="s">
        <v>225</v>
      </c>
      <c r="K9" s="154"/>
      <c r="L9" s="152"/>
      <c r="M9" s="173" t="s">
        <v>225</v>
      </c>
      <c r="N9" s="152" t="s">
        <v>225</v>
      </c>
      <c r="O9" s="173" t="s">
        <v>225</v>
      </c>
      <c r="P9" s="173" t="s">
        <v>225</v>
      </c>
      <c r="Q9" s="152"/>
      <c r="R9" s="152"/>
      <c r="S9" s="152" t="s">
        <v>225</v>
      </c>
      <c r="T9" s="152"/>
      <c r="U9" s="173" t="s">
        <v>225</v>
      </c>
      <c r="V9" s="173" t="s">
        <v>225</v>
      </c>
      <c r="W9" s="173" t="s">
        <v>225</v>
      </c>
    </row>
    <row r="10" spans="1:23" x14ac:dyDescent="0.35">
      <c r="A10" s="155" t="s">
        <v>161</v>
      </c>
      <c r="B10" s="156" t="s">
        <v>162</v>
      </c>
      <c r="C10" s="172">
        <v>0</v>
      </c>
      <c r="D10" s="157"/>
      <c r="E10" s="172">
        <v>0</v>
      </c>
      <c r="F10" s="157"/>
      <c r="G10" s="157"/>
      <c r="H10" s="157"/>
      <c r="I10" s="172">
        <v>0</v>
      </c>
      <c r="J10" s="172">
        <v>0</v>
      </c>
      <c r="K10" s="157"/>
      <c r="L10" s="157"/>
      <c r="M10" s="172">
        <v>0</v>
      </c>
      <c r="N10" s="157">
        <v>0</v>
      </c>
      <c r="O10" s="172">
        <v>0</v>
      </c>
      <c r="P10" s="172">
        <v>0</v>
      </c>
      <c r="Q10" s="157"/>
      <c r="R10" s="157"/>
      <c r="S10" s="157">
        <v>0</v>
      </c>
      <c r="T10" s="157"/>
      <c r="U10" s="172">
        <v>0</v>
      </c>
      <c r="V10" s="172">
        <v>0</v>
      </c>
      <c r="W10" s="172">
        <v>0</v>
      </c>
    </row>
    <row r="11" spans="1:23" x14ac:dyDescent="0.35">
      <c r="A11" s="155" t="s">
        <v>161</v>
      </c>
      <c r="B11" s="156" t="s">
        <v>163</v>
      </c>
      <c r="C11" s="172">
        <v>9521</v>
      </c>
      <c r="D11" s="157"/>
      <c r="E11" s="172">
        <v>4248</v>
      </c>
      <c r="F11" s="157"/>
      <c r="G11" s="157"/>
      <c r="H11" s="157"/>
      <c r="I11" s="172">
        <v>9521</v>
      </c>
      <c r="J11" s="175">
        <v>19168</v>
      </c>
      <c r="K11" s="157">
        <v>39580</v>
      </c>
      <c r="L11" s="157"/>
      <c r="M11" s="172">
        <v>23612</v>
      </c>
      <c r="N11" s="157">
        <v>23612</v>
      </c>
      <c r="O11" s="172">
        <v>13922</v>
      </c>
      <c r="P11" s="172">
        <v>9521</v>
      </c>
      <c r="Q11" s="157"/>
      <c r="R11" s="157">
        <v>39580</v>
      </c>
      <c r="S11" s="157">
        <v>23612</v>
      </c>
      <c r="T11" s="157"/>
      <c r="U11" s="175">
        <v>19168</v>
      </c>
      <c r="V11" s="172">
        <v>19168</v>
      </c>
      <c r="W11" s="172">
        <v>9521</v>
      </c>
    </row>
    <row r="12" spans="1:23" x14ac:dyDescent="0.35">
      <c r="A12" s="155" t="s">
        <v>164</v>
      </c>
      <c r="B12" s="156"/>
      <c r="C12" s="176">
        <v>43073</v>
      </c>
      <c r="D12" s="157"/>
      <c r="E12" s="178">
        <v>42838</v>
      </c>
      <c r="F12" s="157"/>
      <c r="G12" s="157"/>
      <c r="H12" s="157"/>
      <c r="I12" s="176">
        <v>43073</v>
      </c>
      <c r="J12" s="176">
        <v>43497</v>
      </c>
      <c r="K12" s="157" t="s">
        <v>399</v>
      </c>
      <c r="L12" s="157"/>
      <c r="M12" s="176">
        <v>43790</v>
      </c>
      <c r="N12" s="166">
        <v>43790</v>
      </c>
      <c r="O12" s="176">
        <v>43278</v>
      </c>
      <c r="P12" s="176">
        <v>43073</v>
      </c>
      <c r="Q12" s="157"/>
      <c r="R12" s="157" t="s">
        <v>399</v>
      </c>
      <c r="S12" s="166">
        <v>43790</v>
      </c>
      <c r="T12" s="157"/>
      <c r="U12" s="176">
        <v>43497</v>
      </c>
      <c r="V12" s="176">
        <v>43497</v>
      </c>
      <c r="W12" s="176">
        <v>43073</v>
      </c>
    </row>
    <row r="13" spans="1:23" ht="24.65" customHeight="1" x14ac:dyDescent="0.35">
      <c r="A13" s="160" t="s">
        <v>165</v>
      </c>
      <c r="B13" s="161"/>
      <c r="C13" s="162" t="s">
        <v>166</v>
      </c>
      <c r="D13" s="157"/>
      <c r="E13" s="162" t="s">
        <v>166</v>
      </c>
      <c r="F13" s="157"/>
      <c r="G13" s="157"/>
      <c r="H13" s="157"/>
      <c r="I13" s="162" t="s">
        <v>166</v>
      </c>
      <c r="J13" s="162" t="s">
        <v>166</v>
      </c>
      <c r="K13" s="157"/>
      <c r="L13" s="157"/>
      <c r="M13" s="162" t="s">
        <v>166</v>
      </c>
      <c r="N13" s="157" t="s">
        <v>264</v>
      </c>
      <c r="O13" s="162" t="s">
        <v>166</v>
      </c>
      <c r="P13" s="162" t="s">
        <v>166</v>
      </c>
      <c r="Q13" s="157"/>
      <c r="R13" s="157"/>
      <c r="S13" s="157" t="s">
        <v>264</v>
      </c>
      <c r="T13" s="157"/>
      <c r="U13" s="162" t="s">
        <v>166</v>
      </c>
      <c r="V13" s="162" t="s">
        <v>166</v>
      </c>
      <c r="W13" s="162" t="s">
        <v>166</v>
      </c>
    </row>
    <row r="14" spans="1:23" x14ac:dyDescent="0.35">
      <c r="A14" s="225" t="s">
        <v>167</v>
      </c>
      <c r="B14" s="225"/>
      <c r="C14" s="225">
        <f>IFERROR(C11-C10,"")</f>
        <v>9521</v>
      </c>
      <c r="D14" s="225">
        <f t="shared" ref="D14:V14" si="0">IFERROR(D11-D10,"")</f>
        <v>0</v>
      </c>
      <c r="E14" s="225">
        <f t="shared" si="0"/>
        <v>4248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9521</v>
      </c>
      <c r="J14" s="225">
        <f t="shared" si="0"/>
        <v>19168</v>
      </c>
      <c r="K14" s="225">
        <f t="shared" si="0"/>
        <v>39580</v>
      </c>
      <c r="L14" s="225">
        <f t="shared" si="0"/>
        <v>0</v>
      </c>
      <c r="M14" s="225">
        <f t="shared" si="0"/>
        <v>23612</v>
      </c>
      <c r="N14" s="225">
        <f>IFERROR(N25-N24,"")</f>
        <v>3998</v>
      </c>
      <c r="O14" s="225">
        <f t="shared" si="0"/>
        <v>13922</v>
      </c>
      <c r="P14" s="225">
        <f t="shared" si="0"/>
        <v>9521</v>
      </c>
      <c r="Q14" s="225">
        <f t="shared" si="0"/>
        <v>0</v>
      </c>
      <c r="R14" s="225" t="str">
        <f>IFERROR(#REF!-#REF!,"")</f>
        <v/>
      </c>
      <c r="S14" s="225">
        <f>IFERROR(S25-S24,"")</f>
        <v>3998</v>
      </c>
      <c r="T14" s="225">
        <f t="shared" si="0"/>
        <v>0</v>
      </c>
      <c r="U14" s="225">
        <f t="shared" si="0"/>
        <v>19168</v>
      </c>
      <c r="V14" s="225">
        <f t="shared" si="0"/>
        <v>19168</v>
      </c>
      <c r="W14" s="225">
        <f t="shared" ref="W14" si="1">IFERROR(W11-W10,"")</f>
        <v>9521</v>
      </c>
    </row>
    <row r="15" spans="1:23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</row>
    <row r="16" spans="1:23" x14ac:dyDescent="0.35">
      <c r="A16" s="150" t="s">
        <v>159</v>
      </c>
      <c r="B16" s="151"/>
      <c r="C16" s="176">
        <v>43073</v>
      </c>
      <c r="D16" s="154"/>
      <c r="E16" s="152">
        <v>42838</v>
      </c>
      <c r="F16" s="154"/>
      <c r="G16" s="154"/>
      <c r="H16" s="154"/>
      <c r="I16" s="176">
        <v>43073</v>
      </c>
      <c r="J16" s="176">
        <v>43497</v>
      </c>
      <c r="K16" s="154"/>
      <c r="L16" s="154"/>
      <c r="M16" s="152">
        <v>43790</v>
      </c>
      <c r="N16" s="152">
        <v>43790</v>
      </c>
      <c r="O16" s="176">
        <v>43278</v>
      </c>
      <c r="P16" s="176">
        <v>43073</v>
      </c>
      <c r="Q16" s="154"/>
      <c r="R16" s="154"/>
      <c r="S16" s="154" t="s">
        <v>225</v>
      </c>
      <c r="T16" s="154"/>
      <c r="U16" s="176">
        <v>43497</v>
      </c>
      <c r="V16" s="154"/>
      <c r="W16" s="176">
        <v>43073</v>
      </c>
    </row>
    <row r="17" spans="1:23" x14ac:dyDescent="0.35">
      <c r="A17" s="155" t="s">
        <v>161</v>
      </c>
      <c r="B17" s="156" t="s">
        <v>162</v>
      </c>
      <c r="C17" s="172">
        <v>9521</v>
      </c>
      <c r="D17" s="157"/>
      <c r="E17" s="157">
        <v>4248</v>
      </c>
      <c r="F17" s="157"/>
      <c r="G17" s="157"/>
      <c r="H17" s="157"/>
      <c r="I17" s="172">
        <v>9521</v>
      </c>
      <c r="J17" s="175">
        <v>19168</v>
      </c>
      <c r="K17" s="157"/>
      <c r="L17" s="157"/>
      <c r="M17" s="157">
        <v>23612</v>
      </c>
      <c r="N17" s="157">
        <v>23612</v>
      </c>
      <c r="O17" s="172">
        <v>13922</v>
      </c>
      <c r="P17" s="172">
        <v>9521</v>
      </c>
      <c r="Q17" s="157"/>
      <c r="R17" s="157"/>
      <c r="S17" s="157">
        <v>0</v>
      </c>
      <c r="T17" s="157"/>
      <c r="U17" s="175">
        <v>19168</v>
      </c>
      <c r="V17" s="157"/>
      <c r="W17" s="172">
        <v>9521</v>
      </c>
    </row>
    <row r="18" spans="1:23" x14ac:dyDescent="0.35">
      <c r="A18" s="155" t="s">
        <v>161</v>
      </c>
      <c r="B18" s="156" t="s">
        <v>163</v>
      </c>
      <c r="C18" s="175">
        <v>19168</v>
      </c>
      <c r="D18" s="157"/>
      <c r="E18" s="157">
        <v>24380</v>
      </c>
      <c r="F18" s="157"/>
      <c r="G18" s="157"/>
      <c r="H18" s="157"/>
      <c r="I18" s="172">
        <v>23612</v>
      </c>
      <c r="J18" s="172">
        <v>23612</v>
      </c>
      <c r="K18" s="157"/>
      <c r="L18" s="157"/>
      <c r="M18" s="157">
        <v>39580</v>
      </c>
      <c r="N18" s="157">
        <v>27230</v>
      </c>
      <c r="O18" s="172">
        <v>23612</v>
      </c>
      <c r="P18" s="172">
        <v>19168</v>
      </c>
      <c r="Q18" s="157"/>
      <c r="R18" s="157"/>
      <c r="S18" s="157">
        <v>27230</v>
      </c>
      <c r="T18" s="157"/>
      <c r="U18" s="172">
        <v>23612</v>
      </c>
      <c r="V18" s="157"/>
      <c r="W18" s="172">
        <v>19168</v>
      </c>
    </row>
    <row r="19" spans="1:23" x14ac:dyDescent="0.35">
      <c r="A19" s="155" t="s">
        <v>164</v>
      </c>
      <c r="B19" s="156"/>
      <c r="C19" s="176">
        <v>43497</v>
      </c>
      <c r="D19" s="157"/>
      <c r="E19" s="157" t="s">
        <v>328</v>
      </c>
      <c r="F19" s="157"/>
      <c r="G19" s="157"/>
      <c r="H19" s="157"/>
      <c r="I19" s="176">
        <v>43790</v>
      </c>
      <c r="J19" s="176">
        <v>43790</v>
      </c>
      <c r="K19" s="157"/>
      <c r="L19" s="157"/>
      <c r="M19" s="157" t="s">
        <v>399</v>
      </c>
      <c r="N19" s="157" t="s">
        <v>400</v>
      </c>
      <c r="O19" s="176">
        <v>43790</v>
      </c>
      <c r="P19" s="176">
        <v>43497</v>
      </c>
      <c r="Q19" s="157"/>
      <c r="R19" s="157"/>
      <c r="S19" s="166">
        <v>43966</v>
      </c>
      <c r="T19" s="157"/>
      <c r="U19" s="176">
        <v>43790</v>
      </c>
      <c r="V19" s="157"/>
      <c r="W19" s="176">
        <v>43497</v>
      </c>
    </row>
    <row r="20" spans="1:23" ht="29" x14ac:dyDescent="0.35">
      <c r="A20" s="160" t="s">
        <v>165</v>
      </c>
      <c r="B20" s="167"/>
      <c r="C20" s="162" t="s">
        <v>166</v>
      </c>
      <c r="D20" s="157"/>
      <c r="E20" s="157" t="s">
        <v>264</v>
      </c>
      <c r="F20" s="157"/>
      <c r="G20" s="157"/>
      <c r="H20" s="157"/>
      <c r="I20" s="162" t="s">
        <v>166</v>
      </c>
      <c r="J20" s="162" t="s">
        <v>166</v>
      </c>
      <c r="K20" s="157"/>
      <c r="L20" s="157"/>
      <c r="M20" s="157"/>
      <c r="N20" s="157" t="s">
        <v>264</v>
      </c>
      <c r="O20" s="162" t="s">
        <v>166</v>
      </c>
      <c r="P20" s="162" t="s">
        <v>166</v>
      </c>
      <c r="Q20" s="157"/>
      <c r="R20" s="157"/>
      <c r="S20" s="157" t="s">
        <v>264</v>
      </c>
      <c r="T20" s="157"/>
      <c r="U20" s="162" t="s">
        <v>166</v>
      </c>
      <c r="V20" s="157"/>
      <c r="W20" s="162" t="s">
        <v>166</v>
      </c>
    </row>
    <row r="21" spans="1:23" x14ac:dyDescent="0.35">
      <c r="A21" s="225" t="s">
        <v>167</v>
      </c>
      <c r="B21" s="225"/>
      <c r="C21" s="225">
        <f>IFERROR(C18-C17,"")</f>
        <v>9647</v>
      </c>
      <c r="D21" s="225">
        <f t="shared" ref="D21:W21" si="2">IFERROR(D18-D17,"")</f>
        <v>0</v>
      </c>
      <c r="E21" s="225">
        <f t="shared" si="2"/>
        <v>20132</v>
      </c>
      <c r="F21" s="225">
        <f t="shared" si="2"/>
        <v>0</v>
      </c>
      <c r="G21" s="225">
        <f t="shared" si="2"/>
        <v>0</v>
      </c>
      <c r="H21" s="225">
        <f t="shared" si="2"/>
        <v>0</v>
      </c>
      <c r="I21" s="225">
        <f t="shared" si="2"/>
        <v>14091</v>
      </c>
      <c r="J21" s="225">
        <f t="shared" si="2"/>
        <v>4444</v>
      </c>
      <c r="K21" s="225">
        <f t="shared" si="2"/>
        <v>0</v>
      </c>
      <c r="L21" s="225" t="str">
        <f>IFERROR(#REF!-#REF!,"")</f>
        <v/>
      </c>
      <c r="M21" s="225">
        <f t="shared" si="2"/>
        <v>15968</v>
      </c>
      <c r="N21" s="225">
        <f>IFERROR(N18-N17,"")</f>
        <v>3618</v>
      </c>
      <c r="O21" s="225">
        <f t="shared" si="2"/>
        <v>9690</v>
      </c>
      <c r="P21" s="225">
        <f t="shared" si="2"/>
        <v>9647</v>
      </c>
      <c r="Q21" s="225">
        <f t="shared" si="2"/>
        <v>0</v>
      </c>
      <c r="R21" s="225">
        <f t="shared" si="2"/>
        <v>0</v>
      </c>
      <c r="S21" s="225">
        <f>IFERROR(S18-S17,"")</f>
        <v>27230</v>
      </c>
      <c r="T21" s="225">
        <f t="shared" si="2"/>
        <v>0</v>
      </c>
      <c r="U21" s="225">
        <f t="shared" si="2"/>
        <v>4444</v>
      </c>
      <c r="V21" s="225">
        <f t="shared" si="2"/>
        <v>0</v>
      </c>
      <c r="W21" s="225">
        <f t="shared" si="2"/>
        <v>9647</v>
      </c>
    </row>
    <row r="22" spans="1:23" ht="16.399999999999999" customHeight="1" x14ac:dyDescent="0.35">
      <c r="A22" s="65" t="s">
        <v>2</v>
      </c>
      <c r="B22" s="65"/>
      <c r="C22" s="65">
        <f>AVERAGE(C14,C21)</f>
        <v>9584</v>
      </c>
      <c r="D22" s="65">
        <f t="shared" ref="D22:W22" si="3">AVERAGE(D14,D21)</f>
        <v>0</v>
      </c>
      <c r="E22" s="65">
        <f t="shared" si="3"/>
        <v>12190</v>
      </c>
      <c r="F22" s="65">
        <f t="shared" si="3"/>
        <v>0</v>
      </c>
      <c r="G22" s="65">
        <f t="shared" si="3"/>
        <v>0</v>
      </c>
      <c r="H22" s="65">
        <f t="shared" si="3"/>
        <v>0</v>
      </c>
      <c r="I22" s="65">
        <f t="shared" si="3"/>
        <v>11806</v>
      </c>
      <c r="J22" s="65">
        <f t="shared" si="3"/>
        <v>11806</v>
      </c>
      <c r="K22" s="65">
        <f t="shared" si="3"/>
        <v>19790</v>
      </c>
      <c r="L22" s="65">
        <f t="shared" si="3"/>
        <v>0</v>
      </c>
      <c r="M22" s="65">
        <f t="shared" si="3"/>
        <v>19790</v>
      </c>
      <c r="N22" s="65">
        <f t="shared" si="3"/>
        <v>3808</v>
      </c>
      <c r="O22" s="65">
        <f t="shared" si="3"/>
        <v>11806</v>
      </c>
      <c r="P22" s="65">
        <f t="shared" si="3"/>
        <v>9584</v>
      </c>
      <c r="Q22" s="65">
        <f t="shared" si="3"/>
        <v>0</v>
      </c>
      <c r="R22" s="65">
        <f t="shared" si="3"/>
        <v>0</v>
      </c>
      <c r="S22" s="65">
        <f t="shared" si="3"/>
        <v>15614</v>
      </c>
      <c r="T22" s="65">
        <f t="shared" si="3"/>
        <v>0</v>
      </c>
      <c r="U22" s="65">
        <f t="shared" si="3"/>
        <v>11806</v>
      </c>
      <c r="V22" s="65">
        <f t="shared" si="3"/>
        <v>9584</v>
      </c>
      <c r="W22" s="65">
        <f t="shared" si="3"/>
        <v>9584</v>
      </c>
    </row>
    <row r="23" spans="1:23" x14ac:dyDescent="0.35">
      <c r="A23" s="150" t="s">
        <v>159</v>
      </c>
      <c r="B23" s="151"/>
      <c r="C23" s="176">
        <v>43497</v>
      </c>
      <c r="D23" s="154"/>
      <c r="E23" s="154" t="s">
        <v>328</v>
      </c>
      <c r="F23" s="154"/>
      <c r="G23" s="154"/>
      <c r="H23" s="154"/>
      <c r="I23" s="152">
        <v>43790</v>
      </c>
      <c r="J23" s="152">
        <v>43790</v>
      </c>
      <c r="K23" s="154"/>
      <c r="L23" s="154"/>
      <c r="M23" s="154"/>
      <c r="N23" s="157" t="s">
        <v>400</v>
      </c>
      <c r="O23" s="176">
        <v>43790</v>
      </c>
      <c r="P23" s="176">
        <v>43497</v>
      </c>
      <c r="Q23" s="154"/>
      <c r="R23" s="154"/>
      <c r="S23" s="157" t="s">
        <v>400</v>
      </c>
      <c r="T23" s="154"/>
      <c r="U23" s="176">
        <v>43790</v>
      </c>
      <c r="V23" s="154"/>
      <c r="W23" s="176">
        <v>43497</v>
      </c>
    </row>
    <row r="24" spans="1:23" x14ac:dyDescent="0.35">
      <c r="A24" s="155" t="s">
        <v>161</v>
      </c>
      <c r="B24" s="156" t="s">
        <v>162</v>
      </c>
      <c r="C24" s="175">
        <v>19168</v>
      </c>
      <c r="D24" s="157"/>
      <c r="E24" s="157">
        <v>24380</v>
      </c>
      <c r="F24" s="157"/>
      <c r="G24" s="157"/>
      <c r="H24" s="157"/>
      <c r="I24" s="157">
        <v>23612</v>
      </c>
      <c r="J24" s="157">
        <v>23612</v>
      </c>
      <c r="K24" s="157"/>
      <c r="L24" s="157"/>
      <c r="M24" s="157"/>
      <c r="N24" s="157">
        <v>27230</v>
      </c>
      <c r="O24" s="172">
        <v>23612</v>
      </c>
      <c r="P24" s="172">
        <v>19168</v>
      </c>
      <c r="Q24" s="157"/>
      <c r="R24" s="157"/>
      <c r="S24" s="157">
        <v>27230</v>
      </c>
      <c r="T24" s="157"/>
      <c r="U24" s="172">
        <v>23612</v>
      </c>
      <c r="V24" s="157"/>
      <c r="W24" s="172">
        <v>19168</v>
      </c>
    </row>
    <row r="25" spans="1:23" x14ac:dyDescent="0.35">
      <c r="A25" s="155" t="s">
        <v>161</v>
      </c>
      <c r="B25" s="156" t="s">
        <v>163</v>
      </c>
      <c r="C25" s="172">
        <v>23612</v>
      </c>
      <c r="D25" s="157"/>
      <c r="E25" s="157">
        <v>27230</v>
      </c>
      <c r="F25" s="157"/>
      <c r="G25" s="157"/>
      <c r="H25" s="157"/>
      <c r="I25" s="157">
        <v>24380</v>
      </c>
      <c r="J25" s="157">
        <v>31228</v>
      </c>
      <c r="K25" s="157"/>
      <c r="L25" s="157"/>
      <c r="M25" s="157"/>
      <c r="N25" s="157">
        <v>31228</v>
      </c>
      <c r="O25" s="172" t="s">
        <v>225</v>
      </c>
      <c r="P25" s="172">
        <v>23612</v>
      </c>
      <c r="Q25" s="157"/>
      <c r="R25" s="157"/>
      <c r="S25" s="157">
        <v>31228</v>
      </c>
      <c r="T25" s="157"/>
      <c r="U25" s="172">
        <v>24630</v>
      </c>
      <c r="V25" s="157"/>
      <c r="W25" s="172">
        <v>23612</v>
      </c>
    </row>
    <row r="26" spans="1:23" x14ac:dyDescent="0.35">
      <c r="A26" s="155" t="s">
        <v>164</v>
      </c>
      <c r="B26" s="156"/>
      <c r="C26" s="176">
        <v>43790</v>
      </c>
      <c r="D26" s="157"/>
      <c r="E26" s="157" t="s">
        <v>400</v>
      </c>
      <c r="F26" s="157"/>
      <c r="G26" s="157"/>
      <c r="H26" s="157"/>
      <c r="I26" s="157" t="s">
        <v>328</v>
      </c>
      <c r="J26" s="166" t="s">
        <v>281</v>
      </c>
      <c r="K26" s="157"/>
      <c r="L26" s="157"/>
      <c r="M26" s="157"/>
      <c r="N26" s="157" t="s">
        <v>281</v>
      </c>
      <c r="O26" s="176">
        <v>43800</v>
      </c>
      <c r="P26" s="176">
        <v>43790</v>
      </c>
      <c r="Q26" s="157"/>
      <c r="R26" s="157"/>
      <c r="S26" s="157" t="s">
        <v>281</v>
      </c>
      <c r="T26" s="157"/>
      <c r="U26" s="176">
        <v>43834</v>
      </c>
      <c r="V26" s="157"/>
      <c r="W26" s="176">
        <v>43790</v>
      </c>
    </row>
    <row r="27" spans="1:23" ht="29" x14ac:dyDescent="0.35">
      <c r="A27" s="160" t="s">
        <v>165</v>
      </c>
      <c r="B27" s="167"/>
      <c r="C27" s="162" t="s">
        <v>166</v>
      </c>
      <c r="D27" s="157"/>
      <c r="E27" s="157" t="s">
        <v>264</v>
      </c>
      <c r="F27" s="157"/>
      <c r="G27" s="157"/>
      <c r="H27" s="157"/>
      <c r="I27" s="157" t="s">
        <v>264</v>
      </c>
      <c r="J27" s="157" t="s">
        <v>264</v>
      </c>
      <c r="K27" s="157"/>
      <c r="L27" s="157"/>
      <c r="M27" s="157"/>
      <c r="N27" s="157" t="s">
        <v>264</v>
      </c>
      <c r="O27" s="162" t="s">
        <v>166</v>
      </c>
      <c r="P27" s="162" t="s">
        <v>166</v>
      </c>
      <c r="Q27" s="157"/>
      <c r="R27" s="157"/>
      <c r="S27" s="157" t="s">
        <v>264</v>
      </c>
      <c r="T27" s="157"/>
      <c r="U27" s="162" t="s">
        <v>166</v>
      </c>
      <c r="V27" s="157"/>
      <c r="W27" s="162" t="s">
        <v>166</v>
      </c>
    </row>
    <row r="28" spans="1:23" x14ac:dyDescent="0.35">
      <c r="A28" s="225" t="s">
        <v>167</v>
      </c>
      <c r="B28" s="225"/>
      <c r="C28" s="225">
        <f>IFERROR(C25-C24,"")</f>
        <v>4444</v>
      </c>
      <c r="D28" s="225">
        <f t="shared" ref="D28:V28" si="4">IFERROR(D25-D24,"")</f>
        <v>0</v>
      </c>
      <c r="E28" s="225">
        <f t="shared" si="4"/>
        <v>2850</v>
      </c>
      <c r="F28" s="225">
        <f t="shared" si="4"/>
        <v>0</v>
      </c>
      <c r="G28" s="225">
        <f t="shared" si="4"/>
        <v>0</v>
      </c>
      <c r="H28" s="225">
        <f t="shared" si="4"/>
        <v>0</v>
      </c>
      <c r="I28" s="225">
        <f t="shared" si="4"/>
        <v>768</v>
      </c>
      <c r="J28" s="225">
        <f t="shared" si="4"/>
        <v>7616</v>
      </c>
      <c r="K28" s="225">
        <f t="shared" si="4"/>
        <v>0</v>
      </c>
      <c r="L28" s="225">
        <f t="shared" si="4"/>
        <v>0</v>
      </c>
      <c r="M28" s="225">
        <f t="shared" si="4"/>
        <v>0</v>
      </c>
      <c r="N28" s="225" t="str">
        <f>IFERROR(#REF!-#REF!,"")</f>
        <v/>
      </c>
      <c r="O28" s="225" t="str">
        <f t="shared" si="4"/>
        <v/>
      </c>
      <c r="P28" s="225">
        <f t="shared" si="4"/>
        <v>4444</v>
      </c>
      <c r="Q28" s="225">
        <f t="shared" si="4"/>
        <v>0</v>
      </c>
      <c r="R28" s="225">
        <f t="shared" si="4"/>
        <v>0</v>
      </c>
      <c r="S28" s="225" t="str">
        <f>IFERROR(#REF!-#REF!,"")</f>
        <v/>
      </c>
      <c r="T28" s="225">
        <f t="shared" si="4"/>
        <v>0</v>
      </c>
      <c r="U28" s="225">
        <f t="shared" si="4"/>
        <v>1018</v>
      </c>
      <c r="V28" s="225">
        <f t="shared" si="4"/>
        <v>0</v>
      </c>
    </row>
    <row r="29" spans="1:23" ht="16.399999999999999" customHeight="1" x14ac:dyDescent="0.35">
      <c r="A29" s="65" t="s">
        <v>2</v>
      </c>
      <c r="B29" s="65"/>
      <c r="C29" s="65">
        <f>AVERAGE(C21,C28,C14)</f>
        <v>7870.666666666667</v>
      </c>
      <c r="D29" s="65">
        <f t="shared" ref="D29:W29" si="5">AVERAGE(D21,D28,D14)</f>
        <v>0</v>
      </c>
      <c r="E29" s="65">
        <f t="shared" si="5"/>
        <v>9076.6666666666661</v>
      </c>
      <c r="F29" s="65">
        <f t="shared" si="5"/>
        <v>0</v>
      </c>
      <c r="G29" s="65">
        <f t="shared" si="5"/>
        <v>0</v>
      </c>
      <c r="H29" s="65">
        <f t="shared" si="5"/>
        <v>0</v>
      </c>
      <c r="I29" s="65">
        <f t="shared" si="5"/>
        <v>8126.666666666667</v>
      </c>
      <c r="J29" s="65">
        <f t="shared" si="5"/>
        <v>10409.333333333334</v>
      </c>
      <c r="K29" s="65">
        <f t="shared" si="5"/>
        <v>13193.333333333334</v>
      </c>
      <c r="L29" s="65">
        <f t="shared" si="5"/>
        <v>0</v>
      </c>
      <c r="M29" s="65">
        <f t="shared" si="5"/>
        <v>13193.333333333334</v>
      </c>
      <c r="N29" s="65">
        <f t="shared" si="5"/>
        <v>3808</v>
      </c>
      <c r="O29" s="65">
        <f t="shared" si="5"/>
        <v>11806</v>
      </c>
      <c r="P29" s="65">
        <f t="shared" si="5"/>
        <v>7870.666666666667</v>
      </c>
      <c r="Q29" s="65">
        <f t="shared" si="5"/>
        <v>0</v>
      </c>
      <c r="R29" s="65">
        <f t="shared" si="5"/>
        <v>0</v>
      </c>
      <c r="S29" s="65">
        <f t="shared" si="5"/>
        <v>15614</v>
      </c>
      <c r="T29" s="65">
        <f t="shared" si="5"/>
        <v>0</v>
      </c>
      <c r="U29" s="65">
        <f t="shared" si="5"/>
        <v>8210</v>
      </c>
      <c r="V29" s="65">
        <f t="shared" si="5"/>
        <v>6389.333333333333</v>
      </c>
      <c r="W29" s="65">
        <f t="shared" si="5"/>
        <v>9584</v>
      </c>
    </row>
    <row r="30" spans="1:23" x14ac:dyDescent="0.35">
      <c r="A30" s="150" t="s">
        <v>159</v>
      </c>
      <c r="B30" s="151"/>
      <c r="C30" s="211">
        <v>43790</v>
      </c>
      <c r="D30" s="154"/>
      <c r="E30" s="154"/>
      <c r="F30" s="154"/>
      <c r="G30" s="154"/>
      <c r="H30" s="154"/>
      <c r="I30" s="154" t="s">
        <v>328</v>
      </c>
      <c r="J30" s="152" t="s">
        <v>281</v>
      </c>
      <c r="K30" s="154"/>
      <c r="L30" s="154"/>
      <c r="M30" s="154"/>
      <c r="N30" s="152"/>
      <c r="O30" s="176">
        <v>43800</v>
      </c>
      <c r="P30" s="176">
        <v>43790</v>
      </c>
      <c r="Q30" s="154"/>
      <c r="R30" s="154"/>
      <c r="S30" s="154"/>
      <c r="T30" s="154"/>
      <c r="U30" s="152">
        <v>43834</v>
      </c>
      <c r="V30" s="154"/>
      <c r="W30" s="152">
        <v>43790</v>
      </c>
    </row>
    <row r="31" spans="1:23" x14ac:dyDescent="0.35">
      <c r="A31" s="155" t="s">
        <v>161</v>
      </c>
      <c r="B31" s="156" t="s">
        <v>162</v>
      </c>
      <c r="C31" s="165">
        <v>23612</v>
      </c>
      <c r="D31" s="157"/>
      <c r="E31" s="157"/>
      <c r="F31" s="157"/>
      <c r="G31" s="157"/>
      <c r="H31" s="157"/>
      <c r="I31" s="157">
        <v>24380</v>
      </c>
      <c r="J31" s="157">
        <v>31228</v>
      </c>
      <c r="K31" s="157"/>
      <c r="L31" s="157"/>
      <c r="M31" s="157"/>
      <c r="N31" s="157"/>
      <c r="O31" s="172" t="s">
        <v>225</v>
      </c>
      <c r="P31" s="172">
        <v>23612</v>
      </c>
      <c r="Q31" s="157"/>
      <c r="R31" s="157"/>
      <c r="S31" s="157"/>
      <c r="T31" s="157"/>
      <c r="U31" s="157">
        <v>24630</v>
      </c>
      <c r="V31" s="157"/>
      <c r="W31" s="157">
        <v>23612</v>
      </c>
    </row>
    <row r="32" spans="1:23" x14ac:dyDescent="0.35">
      <c r="A32" s="155" t="s">
        <v>161</v>
      </c>
      <c r="B32" s="156" t="s">
        <v>163</v>
      </c>
      <c r="C32" s="175">
        <v>24380</v>
      </c>
      <c r="D32" s="157"/>
      <c r="E32" s="157"/>
      <c r="F32" s="157"/>
      <c r="G32" s="157"/>
      <c r="H32" s="157"/>
      <c r="I32" s="157">
        <v>31228</v>
      </c>
      <c r="J32" s="157">
        <v>39580</v>
      </c>
      <c r="K32" s="157"/>
      <c r="L32" s="157"/>
      <c r="M32" s="157"/>
      <c r="N32" s="157"/>
      <c r="O32" s="172">
        <v>24630</v>
      </c>
      <c r="P32" s="172">
        <v>24630</v>
      </c>
      <c r="Q32" s="157"/>
      <c r="R32" s="157"/>
      <c r="S32" s="157"/>
      <c r="T32" s="157"/>
      <c r="U32" s="175">
        <v>39580</v>
      </c>
      <c r="V32" s="157"/>
      <c r="W32" s="175">
        <v>34156</v>
      </c>
    </row>
    <row r="33" spans="1:23" x14ac:dyDescent="0.35">
      <c r="A33" s="155" t="s">
        <v>164</v>
      </c>
      <c r="B33" s="156"/>
      <c r="C33" s="165" t="s">
        <v>328</v>
      </c>
      <c r="D33" s="157"/>
      <c r="E33" s="157"/>
      <c r="F33" s="157"/>
      <c r="G33" s="157"/>
      <c r="H33" s="157"/>
      <c r="I33" s="157" t="s">
        <v>281</v>
      </c>
      <c r="J33" s="166" t="s">
        <v>399</v>
      </c>
      <c r="K33" s="157"/>
      <c r="L33" s="157"/>
      <c r="M33" s="157"/>
      <c r="N33" s="157"/>
      <c r="O33" s="176">
        <v>43834</v>
      </c>
      <c r="P33" s="176">
        <v>43834</v>
      </c>
      <c r="Q33" s="157"/>
      <c r="R33" s="157"/>
      <c r="S33" s="157"/>
      <c r="T33" s="157"/>
      <c r="U33" s="157" t="s">
        <v>399</v>
      </c>
      <c r="V33" s="157"/>
      <c r="W33" s="157" t="s">
        <v>249</v>
      </c>
    </row>
    <row r="34" spans="1:23" ht="29" x14ac:dyDescent="0.35">
      <c r="A34" s="160" t="s">
        <v>165</v>
      </c>
      <c r="B34" s="167"/>
      <c r="C34" s="165" t="s">
        <v>264</v>
      </c>
      <c r="D34" s="157"/>
      <c r="E34" s="157"/>
      <c r="F34" s="157"/>
      <c r="G34" s="157"/>
      <c r="H34" s="157"/>
      <c r="I34" s="157" t="s">
        <v>264</v>
      </c>
      <c r="J34" s="157"/>
      <c r="K34" s="157"/>
      <c r="L34" s="157"/>
      <c r="M34" s="157"/>
      <c r="N34" s="157"/>
      <c r="O34" s="162" t="s">
        <v>166</v>
      </c>
      <c r="P34" s="162" t="s">
        <v>166</v>
      </c>
      <c r="Q34" s="157"/>
      <c r="R34" s="157"/>
      <c r="S34" s="157"/>
      <c r="T34" s="157"/>
      <c r="U34" s="157"/>
      <c r="V34" s="157"/>
      <c r="W34" s="157" t="s">
        <v>252</v>
      </c>
    </row>
    <row r="35" spans="1:23" x14ac:dyDescent="0.35">
      <c r="A35" s="225" t="s">
        <v>167</v>
      </c>
      <c r="B35" s="225"/>
      <c r="C35" s="225">
        <f>IFERROR(C32-C31,"")</f>
        <v>768</v>
      </c>
      <c r="D35" s="225">
        <f t="shared" ref="D35:V35" si="6">IFERROR(D32-D31,"")</f>
        <v>0</v>
      </c>
      <c r="E35" s="225">
        <f t="shared" si="6"/>
        <v>0</v>
      </c>
      <c r="F35" s="225">
        <f t="shared" si="6"/>
        <v>0</v>
      </c>
      <c r="G35" s="225">
        <f t="shared" si="6"/>
        <v>0</v>
      </c>
      <c r="H35" s="225">
        <f t="shared" si="6"/>
        <v>0</v>
      </c>
      <c r="I35" s="225">
        <f t="shared" si="6"/>
        <v>6848</v>
      </c>
      <c r="J35" s="225">
        <f t="shared" si="6"/>
        <v>8352</v>
      </c>
      <c r="K35" s="225">
        <f t="shared" si="6"/>
        <v>0</v>
      </c>
      <c r="L35" s="225">
        <f t="shared" si="6"/>
        <v>0</v>
      </c>
      <c r="M35" s="225">
        <f t="shared" si="6"/>
        <v>0</v>
      </c>
      <c r="N35" s="225">
        <f t="shared" si="6"/>
        <v>0</v>
      </c>
      <c r="O35" s="225" t="str">
        <f t="shared" si="6"/>
        <v/>
      </c>
      <c r="P35" s="225">
        <f t="shared" si="6"/>
        <v>1018</v>
      </c>
      <c r="Q35" s="225">
        <f t="shared" si="6"/>
        <v>0</v>
      </c>
      <c r="R35" s="225">
        <f t="shared" si="6"/>
        <v>0</v>
      </c>
      <c r="S35" s="225">
        <f t="shared" si="6"/>
        <v>0</v>
      </c>
      <c r="T35" s="225">
        <f t="shared" si="6"/>
        <v>0</v>
      </c>
      <c r="U35" s="225">
        <f t="shared" si="6"/>
        <v>14950</v>
      </c>
      <c r="V35" s="225">
        <f t="shared" si="6"/>
        <v>0</v>
      </c>
    </row>
    <row r="36" spans="1:23" ht="16.399999999999999" customHeight="1" x14ac:dyDescent="0.35">
      <c r="A36" s="65" t="s">
        <v>2</v>
      </c>
      <c r="B36" s="65"/>
      <c r="C36" s="65">
        <f>AVERAGE(C28,C35,C21,C14)</f>
        <v>6095</v>
      </c>
      <c r="D36" s="65">
        <f t="shared" ref="D36:W36" si="7">AVERAGE(D28,D35,D21,D14)</f>
        <v>0</v>
      </c>
      <c r="E36" s="65">
        <f t="shared" si="7"/>
        <v>6807.5</v>
      </c>
      <c r="F36" s="65">
        <f t="shared" si="7"/>
        <v>0</v>
      </c>
      <c r="G36" s="65">
        <f t="shared" si="7"/>
        <v>0</v>
      </c>
      <c r="H36" s="65">
        <f t="shared" si="7"/>
        <v>0</v>
      </c>
      <c r="I36" s="65">
        <f t="shared" si="7"/>
        <v>7807</v>
      </c>
      <c r="J36" s="65">
        <f t="shared" si="7"/>
        <v>9895</v>
      </c>
      <c r="K36" s="65">
        <f t="shared" si="7"/>
        <v>9895</v>
      </c>
      <c r="L36" s="65">
        <f t="shared" si="7"/>
        <v>0</v>
      </c>
      <c r="M36" s="65">
        <f t="shared" si="7"/>
        <v>9895</v>
      </c>
      <c r="N36" s="65">
        <f t="shared" si="7"/>
        <v>2538.6666666666665</v>
      </c>
      <c r="O36" s="65">
        <f t="shared" si="7"/>
        <v>11806</v>
      </c>
      <c r="P36" s="65">
        <f t="shared" si="7"/>
        <v>6157.5</v>
      </c>
      <c r="Q36" s="65">
        <f t="shared" si="7"/>
        <v>0</v>
      </c>
      <c r="R36" s="65">
        <f t="shared" si="7"/>
        <v>0</v>
      </c>
      <c r="S36" s="65">
        <f t="shared" si="7"/>
        <v>10409.333333333334</v>
      </c>
      <c r="T36" s="65">
        <f t="shared" si="7"/>
        <v>0</v>
      </c>
      <c r="U36" s="65">
        <f t="shared" si="7"/>
        <v>9895</v>
      </c>
      <c r="V36" s="65">
        <f t="shared" si="7"/>
        <v>4792</v>
      </c>
      <c r="W36" s="65">
        <f t="shared" si="7"/>
        <v>9584</v>
      </c>
    </row>
    <row r="37" spans="1:23" x14ac:dyDescent="0.35">
      <c r="A37" s="150" t="s">
        <v>159</v>
      </c>
      <c r="B37" s="151"/>
      <c r="C37" s="163" t="s">
        <v>328</v>
      </c>
      <c r="D37" s="154"/>
      <c r="E37" s="154"/>
      <c r="F37" s="154"/>
      <c r="G37" s="154"/>
      <c r="H37" s="154"/>
      <c r="I37" s="154" t="s">
        <v>281</v>
      </c>
      <c r="J37" s="152"/>
      <c r="K37" s="154"/>
      <c r="L37" s="154"/>
      <c r="M37" s="154"/>
      <c r="N37" s="152"/>
      <c r="O37" s="152">
        <v>43834</v>
      </c>
      <c r="P37" s="152">
        <v>43834</v>
      </c>
      <c r="Q37" s="154"/>
      <c r="R37" s="154"/>
      <c r="S37" s="154"/>
      <c r="T37" s="154"/>
      <c r="U37" s="154"/>
      <c r="V37" s="154"/>
      <c r="W37" s="154" t="s">
        <v>249</v>
      </c>
    </row>
    <row r="38" spans="1:23" x14ac:dyDescent="0.35">
      <c r="A38" s="155" t="s">
        <v>161</v>
      </c>
      <c r="B38" s="156" t="s">
        <v>162</v>
      </c>
      <c r="C38" s="165">
        <v>24380</v>
      </c>
      <c r="D38" s="157"/>
      <c r="E38" s="157"/>
      <c r="F38" s="157"/>
      <c r="G38" s="157"/>
      <c r="H38" s="157"/>
      <c r="I38" s="157">
        <v>31228</v>
      </c>
      <c r="J38" s="157"/>
      <c r="K38" s="157"/>
      <c r="L38" s="157"/>
      <c r="M38" s="157"/>
      <c r="N38" s="157"/>
      <c r="O38" s="157">
        <v>24630</v>
      </c>
      <c r="P38" s="157">
        <v>24630</v>
      </c>
      <c r="Q38" s="157"/>
      <c r="R38" s="157"/>
      <c r="S38" s="157"/>
      <c r="T38" s="157"/>
      <c r="U38" s="157"/>
      <c r="V38" s="157"/>
      <c r="W38" s="157">
        <v>34156</v>
      </c>
    </row>
    <row r="39" spans="1:23" x14ac:dyDescent="0.35">
      <c r="A39" s="155" t="s">
        <v>161</v>
      </c>
      <c r="B39" s="156" t="s">
        <v>163</v>
      </c>
      <c r="C39" s="165">
        <v>31228</v>
      </c>
      <c r="D39" s="157"/>
      <c r="E39" s="157"/>
      <c r="F39" s="157"/>
      <c r="G39" s="157"/>
      <c r="H39" s="157"/>
      <c r="I39" s="157">
        <v>40756</v>
      </c>
      <c r="J39" s="157"/>
      <c r="K39" s="157"/>
      <c r="L39" s="157"/>
      <c r="M39" s="157"/>
      <c r="N39" s="157"/>
      <c r="O39" s="157">
        <v>24836</v>
      </c>
      <c r="P39" s="175">
        <v>31228</v>
      </c>
      <c r="Q39" s="157"/>
      <c r="R39" s="157"/>
      <c r="S39" s="157"/>
      <c r="T39" s="157"/>
      <c r="U39" s="175"/>
      <c r="V39" s="157"/>
      <c r="W39" s="157">
        <v>37216</v>
      </c>
    </row>
    <row r="40" spans="1:23" x14ac:dyDescent="0.35">
      <c r="A40" s="155" t="s">
        <v>164</v>
      </c>
      <c r="B40" s="156"/>
      <c r="C40" s="165" t="s">
        <v>281</v>
      </c>
      <c r="D40" s="157"/>
      <c r="E40" s="157"/>
      <c r="F40" s="157"/>
      <c r="G40" s="157"/>
      <c r="H40" s="157"/>
      <c r="I40" s="157" t="s">
        <v>550</v>
      </c>
      <c r="J40" s="166"/>
      <c r="K40" s="157"/>
      <c r="L40" s="157"/>
      <c r="M40" s="157"/>
      <c r="N40" s="157"/>
      <c r="O40" s="157" t="s">
        <v>363</v>
      </c>
      <c r="P40" s="157" t="s">
        <v>281</v>
      </c>
      <c r="Q40" s="157"/>
      <c r="R40" s="157"/>
      <c r="S40" s="157"/>
      <c r="T40" s="157"/>
      <c r="U40" s="157"/>
      <c r="V40" s="157"/>
      <c r="W40" s="157" t="s">
        <v>271</v>
      </c>
    </row>
    <row r="41" spans="1:23" x14ac:dyDescent="0.35">
      <c r="A41" s="160" t="s">
        <v>165</v>
      </c>
      <c r="B41" s="167"/>
      <c r="C41" s="165" t="s">
        <v>264</v>
      </c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 t="s">
        <v>264</v>
      </c>
      <c r="P41" s="157" t="s">
        <v>264</v>
      </c>
      <c r="Q41" s="157"/>
      <c r="R41" s="157"/>
      <c r="S41" s="157"/>
      <c r="T41" s="157"/>
      <c r="U41" s="157"/>
      <c r="V41" s="157"/>
      <c r="W41" s="157"/>
    </row>
    <row r="42" spans="1:23" x14ac:dyDescent="0.35">
      <c r="A42" s="225" t="s">
        <v>167</v>
      </c>
      <c r="B42" s="225"/>
      <c r="C42" s="225">
        <f>IFERROR(C39-C38,"")</f>
        <v>6848</v>
      </c>
      <c r="D42" s="225">
        <f t="shared" ref="D42:V42" si="8">IFERROR(D39-D38,"")</f>
        <v>0</v>
      </c>
      <c r="E42" s="225">
        <f t="shared" si="8"/>
        <v>0</v>
      </c>
      <c r="F42" s="225">
        <f t="shared" si="8"/>
        <v>0</v>
      </c>
      <c r="G42" s="225">
        <f t="shared" si="8"/>
        <v>0</v>
      </c>
      <c r="H42" s="225">
        <f t="shared" si="8"/>
        <v>0</v>
      </c>
      <c r="I42" s="225">
        <f t="shared" si="8"/>
        <v>9528</v>
      </c>
      <c r="J42" s="225">
        <f t="shared" si="8"/>
        <v>0</v>
      </c>
      <c r="K42" s="225">
        <f t="shared" si="8"/>
        <v>0</v>
      </c>
      <c r="L42" s="225">
        <f t="shared" si="8"/>
        <v>0</v>
      </c>
      <c r="M42" s="225">
        <f t="shared" si="8"/>
        <v>0</v>
      </c>
      <c r="N42" s="225">
        <f t="shared" si="8"/>
        <v>0</v>
      </c>
      <c r="O42" s="225">
        <f t="shared" si="8"/>
        <v>206</v>
      </c>
      <c r="P42" s="225">
        <f t="shared" si="8"/>
        <v>6598</v>
      </c>
      <c r="Q42" s="225">
        <f t="shared" si="8"/>
        <v>0</v>
      </c>
      <c r="R42" s="225">
        <f t="shared" si="8"/>
        <v>0</v>
      </c>
      <c r="S42" s="225">
        <f t="shared" si="8"/>
        <v>0</v>
      </c>
      <c r="T42" s="225">
        <f t="shared" si="8"/>
        <v>0</v>
      </c>
      <c r="U42" s="225">
        <f t="shared" si="8"/>
        <v>0</v>
      </c>
      <c r="V42" s="225">
        <f t="shared" si="8"/>
        <v>0</v>
      </c>
    </row>
    <row r="43" spans="1:23" ht="16.399999999999999" customHeight="1" x14ac:dyDescent="0.35">
      <c r="A43" s="65" t="s">
        <v>2</v>
      </c>
      <c r="B43" s="65"/>
      <c r="C43" s="65">
        <f>AVERAGE(C35,C42,C28,C21,C14)</f>
        <v>6245.6</v>
      </c>
      <c r="D43" s="65">
        <f t="shared" ref="D43:W43" si="9">AVERAGE(D35,D42,D28,D21,D14)</f>
        <v>0</v>
      </c>
      <c r="E43" s="65">
        <f t="shared" si="9"/>
        <v>5446</v>
      </c>
      <c r="F43" s="65">
        <f t="shared" si="9"/>
        <v>0</v>
      </c>
      <c r="G43" s="65">
        <f t="shared" si="9"/>
        <v>0</v>
      </c>
      <c r="H43" s="65">
        <f t="shared" si="9"/>
        <v>0</v>
      </c>
      <c r="I43" s="65">
        <f t="shared" si="9"/>
        <v>8151.2</v>
      </c>
      <c r="J43" s="65">
        <f t="shared" si="9"/>
        <v>7916</v>
      </c>
      <c r="K43" s="65">
        <f t="shared" si="9"/>
        <v>7916</v>
      </c>
      <c r="L43" s="65">
        <f t="shared" si="9"/>
        <v>0</v>
      </c>
      <c r="M43" s="65">
        <f t="shared" si="9"/>
        <v>7916</v>
      </c>
      <c r="N43" s="65">
        <f t="shared" si="9"/>
        <v>1904</v>
      </c>
      <c r="O43" s="65">
        <f t="shared" si="9"/>
        <v>7939.333333333333</v>
      </c>
      <c r="P43" s="65">
        <f t="shared" si="9"/>
        <v>6245.6</v>
      </c>
      <c r="Q43" s="65">
        <f t="shared" si="9"/>
        <v>0</v>
      </c>
      <c r="R43" s="65">
        <f t="shared" si="9"/>
        <v>0</v>
      </c>
      <c r="S43" s="65">
        <f t="shared" si="9"/>
        <v>7807</v>
      </c>
      <c r="T43" s="65">
        <f t="shared" si="9"/>
        <v>0</v>
      </c>
      <c r="U43" s="65">
        <f t="shared" si="9"/>
        <v>7916</v>
      </c>
      <c r="V43" s="65">
        <f t="shared" si="9"/>
        <v>3833.6</v>
      </c>
      <c r="W43" s="65">
        <f t="shared" si="9"/>
        <v>9584</v>
      </c>
    </row>
    <row r="44" spans="1:23" x14ac:dyDescent="0.35">
      <c r="A44" s="150" t="s">
        <v>159</v>
      </c>
      <c r="B44" s="151"/>
      <c r="C44" s="163" t="s">
        <v>281</v>
      </c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 t="s">
        <v>363</v>
      </c>
      <c r="P44" s="154" t="s">
        <v>281</v>
      </c>
      <c r="Q44" s="154"/>
      <c r="R44" s="154"/>
      <c r="S44" s="154"/>
      <c r="T44" s="154"/>
      <c r="U44" s="154"/>
      <c r="V44" s="154"/>
      <c r="W44" s="154" t="s">
        <v>271</v>
      </c>
    </row>
    <row r="45" spans="1:23" x14ac:dyDescent="0.35">
      <c r="A45" s="155" t="s">
        <v>161</v>
      </c>
      <c r="B45" s="156" t="s">
        <v>162</v>
      </c>
      <c r="C45" s="165">
        <v>31228</v>
      </c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>
        <v>24836</v>
      </c>
      <c r="P45" s="157">
        <v>31228</v>
      </c>
      <c r="Q45" s="157"/>
      <c r="R45" s="157"/>
      <c r="S45" s="157"/>
      <c r="T45" s="157"/>
      <c r="U45" s="157"/>
      <c r="V45" s="157"/>
      <c r="W45" s="157">
        <v>37216</v>
      </c>
    </row>
    <row r="46" spans="1:23" x14ac:dyDescent="0.35">
      <c r="A46" s="155" t="s">
        <v>161</v>
      </c>
      <c r="B46" s="156" t="s">
        <v>163</v>
      </c>
      <c r="C46" s="165">
        <v>37216</v>
      </c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>
        <v>31228</v>
      </c>
      <c r="P46" s="157">
        <v>34156</v>
      </c>
      <c r="Q46" s="157"/>
      <c r="R46" s="157"/>
      <c r="S46" s="157"/>
      <c r="T46" s="157"/>
      <c r="U46" s="157"/>
      <c r="V46" s="157"/>
      <c r="W46" s="157">
        <v>39580</v>
      </c>
    </row>
    <row r="47" spans="1:23" x14ac:dyDescent="0.35">
      <c r="A47" s="155" t="s">
        <v>164</v>
      </c>
      <c r="B47" s="156"/>
      <c r="C47" s="165" t="s">
        <v>271</v>
      </c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 t="s">
        <v>281</v>
      </c>
      <c r="P47" s="157" t="s">
        <v>249</v>
      </c>
      <c r="Q47" s="157"/>
      <c r="R47" s="157"/>
      <c r="S47" s="157"/>
      <c r="T47" s="157"/>
      <c r="U47" s="157"/>
      <c r="V47" s="157"/>
      <c r="W47" s="157" t="s">
        <v>399</v>
      </c>
    </row>
    <row r="48" spans="1:23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 t="s">
        <v>264</v>
      </c>
      <c r="P48" s="157" t="s">
        <v>252</v>
      </c>
      <c r="Q48" s="157"/>
      <c r="R48" s="157"/>
      <c r="S48" s="157"/>
      <c r="T48" s="157"/>
      <c r="U48" s="157"/>
      <c r="V48" s="157"/>
      <c r="W48" s="157"/>
    </row>
    <row r="49" spans="1:23" x14ac:dyDescent="0.35">
      <c r="A49" s="225" t="s">
        <v>167</v>
      </c>
      <c r="B49" s="225"/>
      <c r="C49" s="225">
        <f>IFERROR(C46-C45,"")</f>
        <v>5988</v>
      </c>
      <c r="D49" s="225">
        <f t="shared" ref="D49:V49" si="10">IFERROR(D46-D45,"")</f>
        <v>0</v>
      </c>
      <c r="E49" s="225">
        <f t="shared" si="10"/>
        <v>0</v>
      </c>
      <c r="F49" s="225">
        <f t="shared" si="10"/>
        <v>0</v>
      </c>
      <c r="G49" s="225">
        <f t="shared" si="10"/>
        <v>0</v>
      </c>
      <c r="H49" s="225">
        <f t="shared" si="10"/>
        <v>0</v>
      </c>
      <c r="I49" s="225">
        <f t="shared" si="10"/>
        <v>0</v>
      </c>
      <c r="J49" s="225">
        <f t="shared" si="10"/>
        <v>0</v>
      </c>
      <c r="K49" s="225">
        <f t="shared" si="10"/>
        <v>0</v>
      </c>
      <c r="L49" s="225">
        <f t="shared" si="10"/>
        <v>0</v>
      </c>
      <c r="M49" s="225">
        <f t="shared" si="10"/>
        <v>0</v>
      </c>
      <c r="N49" s="225">
        <f t="shared" si="10"/>
        <v>0</v>
      </c>
      <c r="O49" s="225">
        <f t="shared" si="10"/>
        <v>6392</v>
      </c>
      <c r="P49" s="225">
        <f t="shared" si="10"/>
        <v>2928</v>
      </c>
      <c r="Q49" s="225">
        <f t="shared" si="10"/>
        <v>0</v>
      </c>
      <c r="R49" s="225">
        <f t="shared" si="10"/>
        <v>0</v>
      </c>
      <c r="S49" s="225">
        <f t="shared" si="10"/>
        <v>0</v>
      </c>
      <c r="T49" s="225">
        <f t="shared" si="10"/>
        <v>0</v>
      </c>
      <c r="U49" s="225">
        <f t="shared" si="10"/>
        <v>0</v>
      </c>
      <c r="V49" s="225">
        <f t="shared" si="10"/>
        <v>0</v>
      </c>
    </row>
    <row r="50" spans="1:23" ht="16.399999999999999" customHeight="1" x14ac:dyDescent="0.35">
      <c r="A50" s="65" t="s">
        <v>2</v>
      </c>
      <c r="B50" s="65"/>
      <c r="C50" s="65">
        <f>AVERAGE(C42,C49,C35,C28,C21,C14)</f>
        <v>6202.666666666667</v>
      </c>
      <c r="D50" s="65">
        <f t="shared" ref="D50:W50" si="11">AVERAGE(D42,D49,D35,D28,D21,D14)</f>
        <v>0</v>
      </c>
      <c r="E50" s="65">
        <f t="shared" si="11"/>
        <v>4538.333333333333</v>
      </c>
      <c r="F50" s="65">
        <f t="shared" si="11"/>
        <v>0</v>
      </c>
      <c r="G50" s="65">
        <f t="shared" si="11"/>
        <v>0</v>
      </c>
      <c r="H50" s="65">
        <f t="shared" si="11"/>
        <v>0</v>
      </c>
      <c r="I50" s="65">
        <f t="shared" si="11"/>
        <v>6792.666666666667</v>
      </c>
      <c r="J50" s="65">
        <f t="shared" si="11"/>
        <v>6596.666666666667</v>
      </c>
      <c r="K50" s="65">
        <f t="shared" si="11"/>
        <v>6596.666666666667</v>
      </c>
      <c r="L50" s="65">
        <f t="shared" si="11"/>
        <v>0</v>
      </c>
      <c r="M50" s="65">
        <f t="shared" si="11"/>
        <v>6596.666666666667</v>
      </c>
      <c r="N50" s="65">
        <f t="shared" si="11"/>
        <v>1523.2</v>
      </c>
      <c r="O50" s="65">
        <f t="shared" si="11"/>
        <v>7552.5</v>
      </c>
      <c r="P50" s="65">
        <f t="shared" si="11"/>
        <v>5692.666666666667</v>
      </c>
      <c r="Q50" s="65">
        <f t="shared" si="11"/>
        <v>0</v>
      </c>
      <c r="R50" s="65">
        <f t="shared" si="11"/>
        <v>0</v>
      </c>
      <c r="S50" s="65">
        <f t="shared" si="11"/>
        <v>6245.6</v>
      </c>
      <c r="T50" s="65">
        <f t="shared" si="11"/>
        <v>0</v>
      </c>
      <c r="U50" s="65">
        <f t="shared" si="11"/>
        <v>6596.666666666667</v>
      </c>
      <c r="V50" s="65">
        <f t="shared" si="11"/>
        <v>3194.6666666666665</v>
      </c>
      <c r="W50" s="65">
        <f t="shared" si="11"/>
        <v>9584</v>
      </c>
    </row>
    <row r="51" spans="1:23" x14ac:dyDescent="0.35">
      <c r="A51" s="150" t="s">
        <v>159</v>
      </c>
      <c r="B51" s="151"/>
      <c r="C51" s="163" t="s">
        <v>271</v>
      </c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 t="s">
        <v>281</v>
      </c>
      <c r="P51" s="154" t="s">
        <v>249</v>
      </c>
      <c r="Q51" s="154"/>
      <c r="R51" s="154"/>
      <c r="S51" s="154"/>
      <c r="T51" s="154"/>
      <c r="U51" s="154"/>
      <c r="V51" s="154"/>
      <c r="W51" s="154"/>
    </row>
    <row r="52" spans="1:23" x14ac:dyDescent="0.35">
      <c r="A52" s="155" t="s">
        <v>161</v>
      </c>
      <c r="B52" s="156" t="s">
        <v>162</v>
      </c>
      <c r="C52" s="165">
        <v>37216</v>
      </c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>
        <v>31228</v>
      </c>
      <c r="P52" s="157">
        <v>34156</v>
      </c>
      <c r="Q52" s="157"/>
      <c r="R52" s="157"/>
      <c r="S52" s="157"/>
      <c r="T52" s="157"/>
      <c r="U52" s="157"/>
      <c r="V52" s="157"/>
      <c r="W52" s="157"/>
    </row>
    <row r="53" spans="1:23" x14ac:dyDescent="0.35">
      <c r="A53" s="155" t="s">
        <v>161</v>
      </c>
      <c r="B53" s="156" t="s">
        <v>163</v>
      </c>
      <c r="C53" s="165">
        <v>39580</v>
      </c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>
        <v>33263</v>
      </c>
      <c r="P53" s="157">
        <v>39580</v>
      </c>
      <c r="Q53" s="157"/>
      <c r="R53" s="157"/>
      <c r="S53" s="157"/>
      <c r="T53" s="157"/>
      <c r="U53" s="157"/>
      <c r="V53" s="157"/>
      <c r="W53" s="157"/>
    </row>
    <row r="54" spans="1:23" x14ac:dyDescent="0.35">
      <c r="A54" s="155" t="s">
        <v>164</v>
      </c>
      <c r="B54" s="156"/>
      <c r="C54" s="165" t="s">
        <v>399</v>
      </c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 t="s">
        <v>370</v>
      </c>
      <c r="P54" s="157" t="s">
        <v>399</v>
      </c>
      <c r="Q54" s="157"/>
      <c r="R54" s="157"/>
      <c r="S54" s="157"/>
      <c r="T54" s="157"/>
      <c r="U54" s="157"/>
      <c r="V54" s="157"/>
      <c r="W54" s="157"/>
    </row>
    <row r="55" spans="1:23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</row>
    <row r="56" spans="1:23" x14ac:dyDescent="0.35">
      <c r="A56" s="225" t="s">
        <v>167</v>
      </c>
      <c r="B56" s="225"/>
      <c r="C56" s="225">
        <f>IFERROR(C53-C52,"")</f>
        <v>2364</v>
      </c>
      <c r="D56" s="225">
        <f t="shared" ref="D56:V56" si="12">IFERROR(D53-D52,"")</f>
        <v>0</v>
      </c>
      <c r="E56" s="225">
        <f t="shared" si="12"/>
        <v>0</v>
      </c>
      <c r="F56" s="225">
        <f t="shared" si="12"/>
        <v>0</v>
      </c>
      <c r="G56" s="225">
        <f t="shared" si="12"/>
        <v>0</v>
      </c>
      <c r="H56" s="225">
        <f t="shared" si="12"/>
        <v>0</v>
      </c>
      <c r="I56" s="225">
        <f t="shared" si="12"/>
        <v>0</v>
      </c>
      <c r="J56" s="225">
        <f t="shared" si="12"/>
        <v>0</v>
      </c>
      <c r="K56" s="225">
        <f t="shared" si="12"/>
        <v>0</v>
      </c>
      <c r="L56" s="225">
        <f t="shared" si="12"/>
        <v>0</v>
      </c>
      <c r="M56" s="225">
        <f t="shared" si="12"/>
        <v>0</v>
      </c>
      <c r="N56" s="225">
        <f t="shared" si="12"/>
        <v>0</v>
      </c>
      <c r="O56" s="225">
        <f t="shared" si="12"/>
        <v>2035</v>
      </c>
      <c r="P56" s="225">
        <f t="shared" si="12"/>
        <v>5424</v>
      </c>
      <c r="Q56" s="225">
        <f t="shared" si="12"/>
        <v>0</v>
      </c>
      <c r="R56" s="225">
        <f t="shared" si="12"/>
        <v>0</v>
      </c>
      <c r="S56" s="225">
        <f t="shared" si="12"/>
        <v>0</v>
      </c>
      <c r="T56" s="225">
        <f t="shared" si="12"/>
        <v>0</v>
      </c>
      <c r="U56" s="225">
        <f t="shared" si="12"/>
        <v>0</v>
      </c>
      <c r="V56" s="225">
        <f t="shared" si="12"/>
        <v>0</v>
      </c>
    </row>
    <row r="57" spans="1:23" ht="16.399999999999999" customHeight="1" x14ac:dyDescent="0.35">
      <c r="A57" s="65" t="s">
        <v>2</v>
      </c>
      <c r="B57" s="65"/>
      <c r="C57" s="65">
        <f>AVERAGE(C49,C56,C42,C35,C28,C21,C14)</f>
        <v>5654.2857142857147</v>
      </c>
      <c r="D57" s="65">
        <f t="shared" ref="D57:W57" si="13">AVERAGE(D49,D56,D42,D35,D28,D21,D14)</f>
        <v>0</v>
      </c>
      <c r="E57" s="65">
        <f t="shared" si="13"/>
        <v>3890</v>
      </c>
      <c r="F57" s="65">
        <f t="shared" si="13"/>
        <v>0</v>
      </c>
      <c r="G57" s="65">
        <f t="shared" si="13"/>
        <v>0</v>
      </c>
      <c r="H57" s="65">
        <f t="shared" si="13"/>
        <v>0</v>
      </c>
      <c r="I57" s="65">
        <f t="shared" si="13"/>
        <v>5822.2857142857147</v>
      </c>
      <c r="J57" s="65">
        <f t="shared" si="13"/>
        <v>5654.2857142857147</v>
      </c>
      <c r="K57" s="65">
        <f t="shared" si="13"/>
        <v>5654.2857142857147</v>
      </c>
      <c r="L57" s="65">
        <f t="shared" si="13"/>
        <v>0</v>
      </c>
      <c r="M57" s="65">
        <f t="shared" si="13"/>
        <v>5654.2857142857147</v>
      </c>
      <c r="N57" s="65">
        <f t="shared" si="13"/>
        <v>1269.3333333333333</v>
      </c>
      <c r="O57" s="65">
        <f t="shared" si="13"/>
        <v>6449</v>
      </c>
      <c r="P57" s="65">
        <f t="shared" si="13"/>
        <v>5654.2857142857147</v>
      </c>
      <c r="Q57" s="65">
        <f t="shared" si="13"/>
        <v>0</v>
      </c>
      <c r="R57" s="65">
        <f t="shared" si="13"/>
        <v>0</v>
      </c>
      <c r="S57" s="65">
        <f t="shared" si="13"/>
        <v>5204.666666666667</v>
      </c>
      <c r="T57" s="65">
        <f t="shared" si="13"/>
        <v>0</v>
      </c>
      <c r="U57" s="65">
        <f t="shared" si="13"/>
        <v>5654.2857142857147</v>
      </c>
      <c r="V57" s="65">
        <f t="shared" si="13"/>
        <v>2738.2857142857142</v>
      </c>
      <c r="W57" s="65">
        <f t="shared" si="13"/>
        <v>9584</v>
      </c>
    </row>
    <row r="58" spans="1:23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 t="s">
        <v>370</v>
      </c>
      <c r="P58" s="154"/>
      <c r="Q58" s="154"/>
      <c r="R58" s="154"/>
      <c r="S58" s="154"/>
      <c r="T58" s="154"/>
      <c r="U58" s="154"/>
      <c r="V58" s="154"/>
      <c r="W58" s="154"/>
    </row>
    <row r="59" spans="1:23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>
        <v>33263</v>
      </c>
      <c r="P59" s="157"/>
      <c r="Q59" s="157"/>
      <c r="R59" s="157"/>
      <c r="S59" s="157"/>
      <c r="T59" s="157"/>
      <c r="U59" s="157"/>
      <c r="V59" s="157"/>
      <c r="W59" s="157"/>
    </row>
    <row r="60" spans="1:23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>
        <v>34156</v>
      </c>
      <c r="P60" s="157"/>
      <c r="Q60" s="157"/>
      <c r="R60" s="157"/>
      <c r="S60" s="157"/>
      <c r="T60" s="157"/>
      <c r="U60" s="157"/>
      <c r="V60" s="157"/>
      <c r="W60" s="157"/>
    </row>
    <row r="61" spans="1:23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 t="s">
        <v>249</v>
      </c>
      <c r="P61" s="157"/>
      <c r="Q61" s="157"/>
      <c r="R61" s="157"/>
      <c r="S61" s="157"/>
      <c r="T61" s="157"/>
      <c r="U61" s="157"/>
      <c r="V61" s="157"/>
      <c r="W61" s="157"/>
    </row>
    <row r="62" spans="1:23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 t="s">
        <v>252</v>
      </c>
      <c r="P62" s="157"/>
      <c r="Q62" s="157"/>
      <c r="R62" s="157"/>
      <c r="S62" s="157"/>
      <c r="T62" s="157"/>
      <c r="U62" s="157"/>
      <c r="V62" s="157"/>
      <c r="W62" s="157"/>
    </row>
    <row r="63" spans="1:23" x14ac:dyDescent="0.35">
      <c r="A63" s="225" t="s">
        <v>167</v>
      </c>
      <c r="B63" s="225"/>
      <c r="C63" s="225">
        <f>IFERROR(C60-C59,"")</f>
        <v>0</v>
      </c>
      <c r="D63" s="225">
        <f t="shared" ref="D63:V63" si="14">IFERROR(D60-D59,"")</f>
        <v>0</v>
      </c>
      <c r="E63" s="225">
        <f t="shared" si="14"/>
        <v>0</v>
      </c>
      <c r="F63" s="225">
        <f t="shared" si="14"/>
        <v>0</v>
      </c>
      <c r="G63" s="225">
        <f t="shared" si="14"/>
        <v>0</v>
      </c>
      <c r="H63" s="225">
        <f t="shared" si="14"/>
        <v>0</v>
      </c>
      <c r="I63" s="225">
        <f t="shared" si="14"/>
        <v>0</v>
      </c>
      <c r="J63" s="225">
        <f t="shared" si="14"/>
        <v>0</v>
      </c>
      <c r="K63" s="225">
        <f t="shared" si="14"/>
        <v>0</v>
      </c>
      <c r="L63" s="225">
        <f t="shared" si="14"/>
        <v>0</v>
      </c>
      <c r="M63" s="225">
        <f t="shared" si="14"/>
        <v>0</v>
      </c>
      <c r="N63" s="225">
        <f t="shared" si="14"/>
        <v>0</v>
      </c>
      <c r="O63" s="225">
        <f t="shared" si="14"/>
        <v>893</v>
      </c>
      <c r="P63" s="225">
        <f t="shared" si="14"/>
        <v>0</v>
      </c>
      <c r="Q63" s="225">
        <f t="shared" si="14"/>
        <v>0</v>
      </c>
      <c r="R63" s="225">
        <f t="shared" si="14"/>
        <v>0</v>
      </c>
      <c r="S63" s="225">
        <f t="shared" si="14"/>
        <v>0</v>
      </c>
      <c r="T63" s="225">
        <f t="shared" si="14"/>
        <v>0</v>
      </c>
      <c r="U63" s="225">
        <f t="shared" si="14"/>
        <v>0</v>
      </c>
      <c r="V63" s="225">
        <f t="shared" si="14"/>
        <v>0</v>
      </c>
    </row>
    <row r="64" spans="1:23" ht="16.399999999999999" customHeight="1" x14ac:dyDescent="0.35">
      <c r="A64" s="65" t="s">
        <v>2</v>
      </c>
      <c r="B64" s="65"/>
      <c r="C64" s="65">
        <f>AVERAGE(C56,C63,C49,C42,C35,C28,C21)</f>
        <v>4294.1428571428569</v>
      </c>
      <c r="D64" s="65">
        <f t="shared" ref="D64:W64" si="15">AVERAGE(D56,D63,D49,D42,D35,D28,D21)</f>
        <v>0</v>
      </c>
      <c r="E64" s="65">
        <f t="shared" si="15"/>
        <v>3283.1428571428573</v>
      </c>
      <c r="F64" s="65">
        <f t="shared" si="15"/>
        <v>0</v>
      </c>
      <c r="G64" s="65">
        <f t="shared" si="15"/>
        <v>0</v>
      </c>
      <c r="H64" s="65">
        <f t="shared" si="15"/>
        <v>0</v>
      </c>
      <c r="I64" s="65">
        <f t="shared" si="15"/>
        <v>4462.1428571428569</v>
      </c>
      <c r="J64" s="65">
        <f t="shared" si="15"/>
        <v>2916</v>
      </c>
      <c r="K64" s="65">
        <f t="shared" si="15"/>
        <v>0</v>
      </c>
      <c r="L64" s="65">
        <f t="shared" si="15"/>
        <v>0</v>
      </c>
      <c r="M64" s="65">
        <f t="shared" si="15"/>
        <v>2281.1428571428573</v>
      </c>
      <c r="N64" s="65">
        <f t="shared" si="15"/>
        <v>603</v>
      </c>
      <c r="O64" s="65">
        <f t="shared" si="15"/>
        <v>3843.2</v>
      </c>
      <c r="P64" s="65">
        <f t="shared" si="15"/>
        <v>4294.1428571428569</v>
      </c>
      <c r="Q64" s="65">
        <f t="shared" si="15"/>
        <v>0</v>
      </c>
      <c r="R64" s="65">
        <f t="shared" si="15"/>
        <v>0</v>
      </c>
      <c r="S64" s="65">
        <f t="shared" si="15"/>
        <v>4538.333333333333</v>
      </c>
      <c r="T64" s="65">
        <f t="shared" si="15"/>
        <v>0</v>
      </c>
      <c r="U64" s="65">
        <f t="shared" si="15"/>
        <v>2916</v>
      </c>
      <c r="V64" s="65">
        <f t="shared" si="15"/>
        <v>0</v>
      </c>
      <c r="W64" s="65">
        <f t="shared" si="15"/>
        <v>9647</v>
      </c>
    </row>
    <row r="65" spans="1:23" x14ac:dyDescent="0.35">
      <c r="A65" s="150" t="s">
        <v>159</v>
      </c>
      <c r="B65" s="151"/>
      <c r="C65" s="163"/>
      <c r="D65" s="154"/>
      <c r="E65" s="154"/>
      <c r="F65" s="154"/>
      <c r="G65" s="154"/>
      <c r="H65" s="154"/>
      <c r="I65" s="154"/>
      <c r="J65" s="152"/>
      <c r="K65" s="154"/>
      <c r="L65" s="154"/>
      <c r="M65" s="154"/>
      <c r="N65" s="152"/>
      <c r="O65" s="152" t="s">
        <v>249</v>
      </c>
      <c r="P65" s="154"/>
      <c r="Q65" s="154"/>
      <c r="R65" s="154"/>
      <c r="S65" s="154"/>
      <c r="T65" s="154"/>
      <c r="U65" s="154"/>
      <c r="V65" s="154"/>
      <c r="W65" s="154"/>
    </row>
    <row r="66" spans="1:23" x14ac:dyDescent="0.35">
      <c r="A66" s="155" t="s">
        <v>161</v>
      </c>
      <c r="B66" s="156" t="s">
        <v>162</v>
      </c>
      <c r="C66" s="165"/>
      <c r="D66" s="157"/>
      <c r="E66" s="157"/>
      <c r="F66" s="157"/>
      <c r="G66" s="157"/>
      <c r="H66" s="157"/>
      <c r="I66" s="157"/>
      <c r="J66" s="157"/>
      <c r="K66" s="157"/>
      <c r="L66" s="157"/>
      <c r="M66" s="157"/>
      <c r="N66" s="157"/>
      <c r="O66" s="157">
        <v>33263</v>
      </c>
      <c r="P66" s="157"/>
      <c r="Q66" s="157"/>
      <c r="R66" s="157"/>
      <c r="S66" s="157"/>
      <c r="T66" s="157"/>
      <c r="U66" s="157"/>
      <c r="V66" s="157"/>
      <c r="W66" s="157"/>
    </row>
    <row r="67" spans="1:23" x14ac:dyDescent="0.35">
      <c r="A67" s="155" t="s">
        <v>161</v>
      </c>
      <c r="B67" s="156" t="s">
        <v>163</v>
      </c>
      <c r="C67" s="165"/>
      <c r="D67" s="157"/>
      <c r="E67" s="157"/>
      <c r="F67" s="157"/>
      <c r="G67" s="157"/>
      <c r="H67" s="157"/>
      <c r="I67" s="157"/>
      <c r="J67" s="157"/>
      <c r="K67" s="157"/>
      <c r="L67" s="157"/>
      <c r="M67" s="157"/>
      <c r="N67" s="157"/>
      <c r="O67" s="157">
        <v>38855</v>
      </c>
      <c r="P67" s="157"/>
      <c r="Q67" s="157"/>
      <c r="R67" s="157"/>
      <c r="S67" s="157"/>
      <c r="T67" s="157"/>
      <c r="U67" s="157"/>
      <c r="V67" s="157"/>
      <c r="W67" s="157"/>
    </row>
    <row r="68" spans="1:23" x14ac:dyDescent="0.35">
      <c r="A68" s="155" t="s">
        <v>164</v>
      </c>
      <c r="B68" s="156"/>
      <c r="C68" s="165"/>
      <c r="D68" s="157"/>
      <c r="E68" s="157"/>
      <c r="F68" s="157"/>
      <c r="G68" s="157"/>
      <c r="H68" s="157"/>
      <c r="I68" s="157"/>
      <c r="J68" s="166"/>
      <c r="K68" s="157"/>
      <c r="L68" s="157"/>
      <c r="M68" s="157"/>
      <c r="N68" s="157"/>
      <c r="O68" s="157" t="s">
        <v>244</v>
      </c>
      <c r="P68" s="157"/>
      <c r="Q68" s="157"/>
      <c r="R68" s="157"/>
      <c r="S68" s="157"/>
      <c r="T68" s="157"/>
      <c r="U68" s="157"/>
      <c r="V68" s="157"/>
      <c r="W68" s="157"/>
    </row>
    <row r="69" spans="1:23" x14ac:dyDescent="0.35">
      <c r="A69" s="160" t="s">
        <v>165</v>
      </c>
      <c r="B69" s="167"/>
      <c r="C69" s="165"/>
      <c r="D69" s="157"/>
      <c r="E69" s="157"/>
      <c r="F69" s="157"/>
      <c r="G69" s="157"/>
      <c r="H69" s="157"/>
      <c r="I69" s="157"/>
      <c r="J69" s="157"/>
      <c r="K69" s="157"/>
      <c r="L69" s="157"/>
      <c r="M69" s="157"/>
      <c r="N69" s="157"/>
      <c r="O69" s="157"/>
      <c r="P69" s="157"/>
      <c r="Q69" s="157"/>
      <c r="R69" s="157"/>
      <c r="S69" s="157"/>
      <c r="T69" s="157"/>
      <c r="U69" s="157"/>
      <c r="V69" s="157"/>
      <c r="W69" s="157"/>
    </row>
    <row r="70" spans="1:23" x14ac:dyDescent="0.35">
      <c r="A70" s="225" t="s">
        <v>167</v>
      </c>
      <c r="B70" s="225"/>
      <c r="C70" s="225">
        <f>IFERROR(C67-C66,"")</f>
        <v>0</v>
      </c>
      <c r="D70" s="225">
        <f t="shared" ref="D70:V70" si="16">IFERROR(D67-D66,"")</f>
        <v>0</v>
      </c>
      <c r="E70" s="225">
        <f t="shared" si="16"/>
        <v>0</v>
      </c>
      <c r="F70" s="225">
        <f t="shared" si="16"/>
        <v>0</v>
      </c>
      <c r="G70" s="225">
        <f t="shared" si="16"/>
        <v>0</v>
      </c>
      <c r="H70" s="225">
        <f t="shared" si="16"/>
        <v>0</v>
      </c>
      <c r="I70" s="225">
        <f t="shared" si="16"/>
        <v>0</v>
      </c>
      <c r="J70" s="225">
        <f t="shared" si="16"/>
        <v>0</v>
      </c>
      <c r="K70" s="225">
        <f t="shared" si="16"/>
        <v>0</v>
      </c>
      <c r="L70" s="225">
        <f t="shared" si="16"/>
        <v>0</v>
      </c>
      <c r="M70" s="225">
        <f t="shared" si="16"/>
        <v>0</v>
      </c>
      <c r="N70" s="225">
        <f t="shared" si="16"/>
        <v>0</v>
      </c>
      <c r="O70" s="225">
        <f t="shared" si="16"/>
        <v>5592</v>
      </c>
      <c r="P70" s="225">
        <f t="shared" si="16"/>
        <v>0</v>
      </c>
      <c r="Q70" s="225">
        <f t="shared" si="16"/>
        <v>0</v>
      </c>
      <c r="R70" s="225">
        <f t="shared" si="16"/>
        <v>0</v>
      </c>
      <c r="S70" s="225">
        <f t="shared" si="16"/>
        <v>0</v>
      </c>
      <c r="T70" s="225">
        <f t="shared" si="16"/>
        <v>0</v>
      </c>
      <c r="U70" s="225">
        <f t="shared" si="16"/>
        <v>0</v>
      </c>
      <c r="V70" s="225">
        <f t="shared" si="16"/>
        <v>0</v>
      </c>
    </row>
    <row r="71" spans="1:23" x14ac:dyDescent="0.35">
      <c r="A71" s="65" t="s">
        <v>2</v>
      </c>
      <c r="B71" s="65"/>
      <c r="C71" s="65">
        <f>AVERAGE(C63,C70,C56,C49,C42,C35,C28,C14)</f>
        <v>3741.625</v>
      </c>
      <c r="D71" s="65">
        <f t="shared" ref="D71:U71" si="17">AVERAGE(D63,D70,D56,D49,D42,D35,D28,D14)</f>
        <v>0</v>
      </c>
      <c r="E71" s="65">
        <f t="shared" si="17"/>
        <v>887.25</v>
      </c>
      <c r="F71" s="65">
        <f t="shared" si="17"/>
        <v>0</v>
      </c>
      <c r="G71" s="65">
        <f t="shared" si="17"/>
        <v>0</v>
      </c>
      <c r="H71" s="65">
        <f t="shared" si="17"/>
        <v>0</v>
      </c>
      <c r="I71" s="65">
        <f t="shared" si="17"/>
        <v>3333.125</v>
      </c>
      <c r="J71" s="65">
        <f t="shared" si="17"/>
        <v>4392</v>
      </c>
      <c r="K71" s="65">
        <f t="shared" si="17"/>
        <v>4947.5</v>
      </c>
      <c r="L71" s="65">
        <f t="shared" si="17"/>
        <v>0</v>
      </c>
      <c r="M71" s="65">
        <f t="shared" si="17"/>
        <v>2951.5</v>
      </c>
      <c r="N71" s="65">
        <f t="shared" si="17"/>
        <v>571.14285714285711</v>
      </c>
      <c r="O71" s="65">
        <f t="shared" si="17"/>
        <v>4840</v>
      </c>
      <c r="P71" s="65">
        <f t="shared" si="17"/>
        <v>3741.625</v>
      </c>
      <c r="Q71" s="65">
        <f t="shared" si="17"/>
        <v>0</v>
      </c>
      <c r="R71" s="65">
        <f t="shared" si="17"/>
        <v>0</v>
      </c>
      <c r="S71" s="65">
        <f t="shared" si="17"/>
        <v>571.14285714285711</v>
      </c>
      <c r="T71" s="65">
        <f t="shared" si="17"/>
        <v>0</v>
      </c>
      <c r="U71" s="65">
        <f t="shared" si="17"/>
        <v>4392</v>
      </c>
      <c r="V71" s="65">
        <f t="shared" ref="V71:W71" si="18">AVERAGE(V63,V70,V56,V49,V42,V35,V28)</f>
        <v>0</v>
      </c>
      <c r="W71" s="65" t="e">
        <f t="shared" si="18"/>
        <v>#DIV/0!</v>
      </c>
    </row>
  </sheetData>
  <sheetProtection algorithmName="SHA-512" hashValue="MT0Ap9/fWL4QxNlnK0jFI5OwkqTkiIyrTmeSX44yAVuU9yxkG08nZ8MtbvkUF2vn2cBcUisTYptOwFpZJx1+JA==" saltValue="4fQ7a+FgkZH2LyIcZZ2DHw==" spinCount="100000" sheet="1" objects="1" scenarios="1"/>
  <autoFilter ref="A2:W64" xr:uid="{00000000-0009-0000-0000-000010000000}"/>
  <mergeCells count="2">
    <mergeCell ref="A7:B7"/>
    <mergeCell ref="A8:B8"/>
  </mergeCells>
  <conditionalFormatting sqref="C15 F15:V15">
    <cfRule type="expression" dxfId="857" priority="65">
      <formula>C15&lt;#REF!</formula>
    </cfRule>
    <cfRule type="expression" dxfId="856" priority="66">
      <formula>C15&gt;#REF!</formula>
    </cfRule>
  </conditionalFormatting>
  <conditionalFormatting sqref="D15">
    <cfRule type="expression" dxfId="855" priority="67">
      <formula>D15&lt;#REF!</formula>
    </cfRule>
    <cfRule type="expression" dxfId="854" priority="68">
      <formula>D15&gt;#REF!</formula>
    </cfRule>
  </conditionalFormatting>
  <conditionalFormatting sqref="E15">
    <cfRule type="expression" dxfId="853" priority="69" stopIfTrue="1">
      <formula>E15&lt;#REF!</formula>
    </cfRule>
    <cfRule type="expression" dxfId="852" priority="70" stopIfTrue="1">
      <formula>E15&gt;#REF!</formula>
    </cfRule>
  </conditionalFormatting>
  <conditionalFormatting sqref="C22:W22">
    <cfRule type="expression" dxfId="851" priority="59">
      <formula>C22&lt;#REF!</formula>
    </cfRule>
    <cfRule type="expression" dxfId="850" priority="60">
      <formula>C22&gt;#REF!</formula>
    </cfRule>
  </conditionalFormatting>
  <conditionalFormatting sqref="D22">
    <cfRule type="expression" dxfId="849" priority="61">
      <formula>D22&lt;#REF!</formula>
    </cfRule>
    <cfRule type="expression" dxfId="848" priority="62">
      <formula>D22&gt;#REF!</formula>
    </cfRule>
  </conditionalFormatting>
  <conditionalFormatting sqref="E22">
    <cfRule type="expression" dxfId="847" priority="63" stopIfTrue="1">
      <formula>E22&lt;#REF!</formula>
    </cfRule>
    <cfRule type="expression" dxfId="846" priority="64" stopIfTrue="1">
      <formula>E22&gt;#REF!</formula>
    </cfRule>
  </conditionalFormatting>
  <conditionalFormatting sqref="F29:V29">
    <cfRule type="expression" dxfId="845" priority="53">
      <formula>F29&lt;#REF!</formula>
    </cfRule>
    <cfRule type="expression" dxfId="844" priority="54">
      <formula>F29&gt;#REF!</formula>
    </cfRule>
  </conditionalFormatting>
  <conditionalFormatting sqref="D29">
    <cfRule type="expression" dxfId="843" priority="55">
      <formula>D29&lt;#REF!</formula>
    </cfRule>
    <cfRule type="expression" dxfId="842" priority="56">
      <formula>D29&gt;#REF!</formula>
    </cfRule>
  </conditionalFormatting>
  <conditionalFormatting sqref="E29">
    <cfRule type="expression" dxfId="841" priority="57" stopIfTrue="1">
      <formula>E29&lt;#REF!</formula>
    </cfRule>
    <cfRule type="expression" dxfId="840" priority="58" stopIfTrue="1">
      <formula>E29&gt;#REF!</formula>
    </cfRule>
  </conditionalFormatting>
  <conditionalFormatting sqref="F36:V36">
    <cfRule type="expression" dxfId="839" priority="47">
      <formula>F36&lt;#REF!</formula>
    </cfRule>
    <cfRule type="expression" dxfId="838" priority="48">
      <formula>F36&gt;#REF!</formula>
    </cfRule>
  </conditionalFormatting>
  <conditionalFormatting sqref="D36">
    <cfRule type="expression" dxfId="837" priority="49">
      <formula>D36&lt;#REF!</formula>
    </cfRule>
    <cfRule type="expression" dxfId="836" priority="50">
      <formula>D36&gt;#REF!</formula>
    </cfRule>
  </conditionalFormatting>
  <conditionalFormatting sqref="E36">
    <cfRule type="expression" dxfId="835" priority="51" stopIfTrue="1">
      <formula>E36&lt;#REF!</formula>
    </cfRule>
    <cfRule type="expression" dxfId="834" priority="52" stopIfTrue="1">
      <formula>E36&gt;#REF!</formula>
    </cfRule>
  </conditionalFormatting>
  <conditionalFormatting sqref="F43:V43">
    <cfRule type="expression" dxfId="833" priority="41">
      <formula>F43&lt;#REF!</formula>
    </cfRule>
    <cfRule type="expression" dxfId="832" priority="42">
      <formula>F43&gt;#REF!</formula>
    </cfRule>
  </conditionalFormatting>
  <conditionalFormatting sqref="D43">
    <cfRule type="expression" dxfId="831" priority="43">
      <formula>D43&lt;#REF!</formula>
    </cfRule>
    <cfRule type="expression" dxfId="830" priority="44">
      <formula>D43&gt;#REF!</formula>
    </cfRule>
  </conditionalFormatting>
  <conditionalFormatting sqref="E43">
    <cfRule type="expression" dxfId="829" priority="45" stopIfTrue="1">
      <formula>E43&lt;#REF!</formula>
    </cfRule>
    <cfRule type="expression" dxfId="828" priority="46" stopIfTrue="1">
      <formula>E43&gt;#REF!</formula>
    </cfRule>
  </conditionalFormatting>
  <conditionalFormatting sqref="F50:V50">
    <cfRule type="expression" dxfId="827" priority="35">
      <formula>F50&lt;#REF!</formula>
    </cfRule>
    <cfRule type="expression" dxfId="826" priority="36">
      <formula>F50&gt;#REF!</formula>
    </cfRule>
  </conditionalFormatting>
  <conditionalFormatting sqref="D50">
    <cfRule type="expression" dxfId="825" priority="37">
      <formula>D50&lt;#REF!</formula>
    </cfRule>
    <cfRule type="expression" dxfId="824" priority="38">
      <formula>D50&gt;#REF!</formula>
    </cfRule>
  </conditionalFormatting>
  <conditionalFormatting sqref="E50">
    <cfRule type="expression" dxfId="823" priority="39" stopIfTrue="1">
      <formula>E50&lt;#REF!</formula>
    </cfRule>
    <cfRule type="expression" dxfId="822" priority="40" stopIfTrue="1">
      <formula>E50&gt;#REF!</formula>
    </cfRule>
  </conditionalFormatting>
  <conditionalFormatting sqref="F57:V57">
    <cfRule type="expression" dxfId="821" priority="29">
      <formula>F57&lt;#REF!</formula>
    </cfRule>
    <cfRule type="expression" dxfId="820" priority="30">
      <formula>F57&gt;#REF!</formula>
    </cfRule>
  </conditionalFormatting>
  <conditionalFormatting sqref="D57">
    <cfRule type="expression" dxfId="819" priority="31">
      <formula>D57&lt;#REF!</formula>
    </cfRule>
    <cfRule type="expression" dxfId="818" priority="32">
      <formula>D57&gt;#REF!</formula>
    </cfRule>
  </conditionalFormatting>
  <conditionalFormatting sqref="E57">
    <cfRule type="expression" dxfId="817" priority="33" stopIfTrue="1">
      <formula>E57&lt;#REF!</formula>
    </cfRule>
    <cfRule type="expression" dxfId="816" priority="34" stopIfTrue="1">
      <formula>E57&gt;#REF!</formula>
    </cfRule>
  </conditionalFormatting>
  <conditionalFormatting sqref="F64:V64">
    <cfRule type="expression" dxfId="815" priority="23">
      <formula>F64&lt;#REF!</formula>
    </cfRule>
    <cfRule type="expression" dxfId="814" priority="24">
      <formula>F64&gt;#REF!</formula>
    </cfRule>
  </conditionalFormatting>
  <conditionalFormatting sqref="D64">
    <cfRule type="expression" dxfId="813" priority="25">
      <formula>D64&lt;#REF!</formula>
    </cfRule>
    <cfRule type="expression" dxfId="812" priority="26">
      <formula>D64&gt;#REF!</formula>
    </cfRule>
  </conditionalFormatting>
  <conditionalFormatting sqref="E64">
    <cfRule type="expression" dxfId="811" priority="27" stopIfTrue="1">
      <formula>E64&lt;#REF!</formula>
    </cfRule>
    <cfRule type="expression" dxfId="810" priority="28" stopIfTrue="1">
      <formula>E64&gt;#REF!</formula>
    </cfRule>
  </conditionalFormatting>
  <conditionalFormatting sqref="W15">
    <cfRule type="expression" dxfId="809" priority="21">
      <formula>W15&lt;#REF!</formula>
    </cfRule>
    <cfRule type="expression" dxfId="808" priority="22">
      <formula>W15&gt;#REF!</formula>
    </cfRule>
  </conditionalFormatting>
  <conditionalFormatting sqref="C64:W64">
    <cfRule type="expression" dxfId="807" priority="9">
      <formula>C64&lt;#REF!</formula>
    </cfRule>
    <cfRule type="expression" dxfId="806" priority="10">
      <formula>C64&gt;#REF!</formula>
    </cfRule>
  </conditionalFormatting>
  <conditionalFormatting sqref="C29:W29">
    <cfRule type="expression" dxfId="805" priority="19">
      <formula>C29&lt;#REF!</formula>
    </cfRule>
    <cfRule type="expression" dxfId="804" priority="20">
      <formula>C29&gt;#REF!</formula>
    </cfRule>
  </conditionalFormatting>
  <conditionalFormatting sqref="C36:W36">
    <cfRule type="expression" dxfId="803" priority="17">
      <formula>C36&lt;#REF!</formula>
    </cfRule>
    <cfRule type="expression" dxfId="802" priority="18">
      <formula>C36&gt;#REF!</formula>
    </cfRule>
  </conditionalFormatting>
  <conditionalFormatting sqref="C43:W43">
    <cfRule type="expression" dxfId="801" priority="15">
      <formula>C43&lt;#REF!</formula>
    </cfRule>
    <cfRule type="expression" dxfId="800" priority="16">
      <formula>C43&gt;#REF!</formula>
    </cfRule>
  </conditionalFormatting>
  <conditionalFormatting sqref="C50:W50">
    <cfRule type="expression" dxfId="799" priority="13">
      <formula>C50&lt;#REF!</formula>
    </cfRule>
    <cfRule type="expression" dxfId="798" priority="14">
      <formula>C50&gt;#REF!</formula>
    </cfRule>
  </conditionalFormatting>
  <conditionalFormatting sqref="C57:W57">
    <cfRule type="expression" dxfId="797" priority="11">
      <formula>C57&lt;#REF!</formula>
    </cfRule>
    <cfRule type="expression" dxfId="796" priority="12">
      <formula>C57&gt;#REF!</formula>
    </cfRule>
  </conditionalFormatting>
  <conditionalFormatting sqref="F71:V71">
    <cfRule type="expression" dxfId="795" priority="3">
      <formula>F71&lt;#REF!</formula>
    </cfRule>
    <cfRule type="expression" dxfId="794" priority="4">
      <formula>F71&gt;#REF!</formula>
    </cfRule>
  </conditionalFormatting>
  <conditionalFormatting sqref="D71">
    <cfRule type="expression" dxfId="793" priority="5">
      <formula>D71&lt;#REF!</formula>
    </cfRule>
    <cfRule type="expression" dxfId="792" priority="6">
      <formula>D71&gt;#REF!</formula>
    </cfRule>
  </conditionalFormatting>
  <conditionalFormatting sqref="E71">
    <cfRule type="expression" dxfId="791" priority="7" stopIfTrue="1">
      <formula>E71&lt;#REF!</formula>
    </cfRule>
    <cfRule type="expression" dxfId="790" priority="8" stopIfTrue="1">
      <formula>E71&gt;#REF!</formula>
    </cfRule>
  </conditionalFormatting>
  <conditionalFormatting sqref="C71:W71">
    <cfRule type="expression" dxfId="789" priority="1">
      <formula>C71&lt;#REF!</formula>
    </cfRule>
    <cfRule type="expression" dxfId="788" priority="2">
      <formula>C71&gt;#REF!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/>
  <dimension ref="A1:W85"/>
  <sheetViews>
    <sheetView zoomScale="60" zoomScaleNormal="60" workbookViewId="0">
      <selection activeCell="C85" sqref="C85:U85"/>
    </sheetView>
  </sheetViews>
  <sheetFormatPr defaultColWidth="8.81640625" defaultRowHeight="14.5" x14ac:dyDescent="0.35"/>
  <cols>
    <col min="1" max="1" width="17.1796875" customWidth="1"/>
    <col min="2" max="2" width="6.81640625" customWidth="1"/>
    <col min="3" max="5" width="21.54296875" bestFit="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20" width="17.1796875" bestFit="1" customWidth="1"/>
    <col min="21" max="21" width="15.1796875" bestFit="1" customWidth="1"/>
    <col min="22" max="23" width="20.81640625" customWidth="1"/>
  </cols>
  <sheetData>
    <row r="1" spans="1:23" ht="24" thickBot="1" x14ac:dyDescent="0.4">
      <c r="A1" s="186"/>
    </row>
    <row r="2" spans="1:23" x14ac:dyDescent="0.35">
      <c r="E2" s="130" t="s">
        <v>401</v>
      </c>
      <c r="F2" s="131"/>
      <c r="G2" s="131" t="s">
        <v>104</v>
      </c>
      <c r="H2" s="131"/>
      <c r="I2" s="132"/>
    </row>
    <row r="3" spans="1:23" x14ac:dyDescent="0.35">
      <c r="E3" s="133"/>
      <c r="F3" s="134" t="s">
        <v>106</v>
      </c>
      <c r="G3" s="135" t="s">
        <v>275</v>
      </c>
      <c r="H3" s="134"/>
      <c r="I3" s="136"/>
    </row>
    <row r="4" spans="1:23" ht="15" thickBot="1" x14ac:dyDescent="0.4">
      <c r="A4" t="s">
        <v>168</v>
      </c>
      <c r="B4" t="s">
        <v>169</v>
      </c>
      <c r="E4" s="137"/>
      <c r="F4" s="138" t="s">
        <v>276</v>
      </c>
      <c r="G4" s="139"/>
      <c r="H4" s="138" t="s">
        <v>112</v>
      </c>
      <c r="I4" s="140"/>
    </row>
    <row r="5" spans="1:23" ht="35.9" customHeight="1" x14ac:dyDescent="0.35">
      <c r="A5" s="141" t="s">
        <v>402</v>
      </c>
      <c r="B5" t="s">
        <v>403</v>
      </c>
    </row>
    <row r="6" spans="1:23" ht="28.4" customHeight="1" x14ac:dyDescent="0.35">
      <c r="A6" s="142" t="s">
        <v>200</v>
      </c>
      <c r="B6" s="169"/>
      <c r="C6" s="142" t="s">
        <v>57</v>
      </c>
      <c r="D6" s="142" t="s">
        <v>78</v>
      </c>
      <c r="E6" s="142" t="s">
        <v>58</v>
      </c>
      <c r="F6" s="142" t="s">
        <v>79</v>
      </c>
      <c r="G6" s="143" t="s">
        <v>80</v>
      </c>
      <c r="H6" s="143" t="s">
        <v>81</v>
      </c>
      <c r="I6" s="143" t="s">
        <v>59</v>
      </c>
      <c r="J6" s="142" t="s">
        <v>82</v>
      </c>
      <c r="K6" s="142" t="s">
        <v>75</v>
      </c>
      <c r="L6" s="142" t="s">
        <v>83</v>
      </c>
      <c r="M6" s="142" t="s">
        <v>60</v>
      </c>
      <c r="N6" s="142" t="s">
        <v>61</v>
      </c>
      <c r="O6" s="142" t="s">
        <v>62</v>
      </c>
      <c r="P6" s="144" t="s">
        <v>63</v>
      </c>
      <c r="Q6" s="142" t="s">
        <v>84</v>
      </c>
      <c r="R6" s="142" t="s">
        <v>85</v>
      </c>
      <c r="S6" s="142" t="s">
        <v>86</v>
      </c>
      <c r="T6" s="142" t="s">
        <v>87</v>
      </c>
      <c r="U6" s="142" t="s">
        <v>65</v>
      </c>
      <c r="V6" s="142" t="s">
        <v>404</v>
      </c>
      <c r="W6" s="142" t="s">
        <v>388</v>
      </c>
    </row>
    <row r="7" spans="1:23" x14ac:dyDescent="0.35">
      <c r="A7" s="252" t="s">
        <v>137</v>
      </c>
      <c r="B7" s="252"/>
      <c r="C7" s="145" t="s">
        <v>140</v>
      </c>
      <c r="D7" s="145" t="s">
        <v>141</v>
      </c>
      <c r="E7" s="146" t="s">
        <v>138</v>
      </c>
      <c r="F7" s="145" t="s">
        <v>215</v>
      </c>
      <c r="G7" s="145" t="s">
        <v>142</v>
      </c>
      <c r="H7" s="145" t="s">
        <v>143</v>
      </c>
      <c r="I7" s="145" t="s">
        <v>144</v>
      </c>
      <c r="J7" s="145" t="s">
        <v>145</v>
      </c>
      <c r="K7" s="145" t="s">
        <v>146</v>
      </c>
      <c r="L7" s="145" t="s">
        <v>147</v>
      </c>
      <c r="M7" s="145" t="s">
        <v>148</v>
      </c>
      <c r="N7" s="145" t="s">
        <v>149</v>
      </c>
      <c r="O7" s="145" t="s">
        <v>150</v>
      </c>
      <c r="P7" s="145" t="s">
        <v>151</v>
      </c>
      <c r="Q7" s="145" t="s">
        <v>152</v>
      </c>
      <c r="R7" s="145" t="s">
        <v>153</v>
      </c>
      <c r="S7" s="145" t="s">
        <v>154</v>
      </c>
      <c r="T7" s="145" t="s">
        <v>155</v>
      </c>
      <c r="U7" s="145" t="s">
        <v>157</v>
      </c>
      <c r="V7" s="145" t="s">
        <v>405</v>
      </c>
      <c r="W7" s="145" t="s">
        <v>279</v>
      </c>
    </row>
    <row r="8" spans="1:23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2</v>
      </c>
      <c r="K8" s="147">
        <v>1</v>
      </c>
      <c r="L8" s="147">
        <v>2</v>
      </c>
      <c r="M8" s="147">
        <v>1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4</v>
      </c>
      <c r="U8" s="147">
        <v>1</v>
      </c>
      <c r="V8" s="147">
        <v>1</v>
      </c>
      <c r="W8" s="147" t="s">
        <v>406</v>
      </c>
    </row>
    <row r="9" spans="1:23" x14ac:dyDescent="0.35">
      <c r="A9" s="150" t="s">
        <v>159</v>
      </c>
      <c r="B9" s="151"/>
      <c r="C9" s="153" t="s">
        <v>225</v>
      </c>
      <c r="D9" s="152"/>
      <c r="E9" s="152"/>
      <c r="F9" s="152"/>
      <c r="G9" s="152"/>
      <c r="H9" s="152"/>
      <c r="I9" s="153" t="s">
        <v>225</v>
      </c>
      <c r="J9" s="153" t="s">
        <v>225</v>
      </c>
      <c r="K9" s="154"/>
      <c r="L9" s="153" t="s">
        <v>225</v>
      </c>
      <c r="M9" s="153" t="s">
        <v>225</v>
      </c>
      <c r="N9" s="153" t="s">
        <v>225</v>
      </c>
      <c r="O9" s="153" t="s">
        <v>225</v>
      </c>
      <c r="P9" s="153" t="s">
        <v>225</v>
      </c>
      <c r="Q9" s="154"/>
      <c r="R9" s="152"/>
      <c r="S9" s="153" t="s">
        <v>225</v>
      </c>
      <c r="T9" s="153" t="s">
        <v>225</v>
      </c>
      <c r="U9" s="153" t="s">
        <v>225</v>
      </c>
      <c r="V9" s="153" t="s">
        <v>225</v>
      </c>
      <c r="W9" s="153" t="s">
        <v>225</v>
      </c>
    </row>
    <row r="10" spans="1:23" x14ac:dyDescent="0.35">
      <c r="A10" s="155" t="s">
        <v>161</v>
      </c>
      <c r="B10" s="156" t="s">
        <v>162</v>
      </c>
      <c r="C10" s="158">
        <v>0</v>
      </c>
      <c r="D10" s="157"/>
      <c r="E10" s="157"/>
      <c r="F10" s="157"/>
      <c r="G10" s="157"/>
      <c r="H10" s="157"/>
      <c r="I10" s="158">
        <v>0</v>
      </c>
      <c r="J10" s="158">
        <v>0</v>
      </c>
      <c r="K10" s="157"/>
      <c r="L10" s="158">
        <v>0</v>
      </c>
      <c r="M10" s="158">
        <v>0</v>
      </c>
      <c r="N10" s="158">
        <v>0</v>
      </c>
      <c r="O10" s="158">
        <v>0</v>
      </c>
      <c r="P10" s="158">
        <v>0</v>
      </c>
      <c r="Q10" s="157"/>
      <c r="R10" s="157"/>
      <c r="S10" s="158">
        <v>0</v>
      </c>
      <c r="T10" s="158">
        <v>0</v>
      </c>
      <c r="U10" s="158">
        <v>0</v>
      </c>
      <c r="V10" s="158">
        <v>0</v>
      </c>
      <c r="W10" s="158">
        <v>0</v>
      </c>
    </row>
    <row r="11" spans="1:23" x14ac:dyDescent="0.35">
      <c r="A11" s="155" t="s">
        <v>161</v>
      </c>
      <c r="B11" s="156" t="s">
        <v>163</v>
      </c>
      <c r="C11" s="158">
        <v>12848</v>
      </c>
      <c r="D11" s="157"/>
      <c r="E11" s="157"/>
      <c r="F11" s="157"/>
      <c r="G11" s="157"/>
      <c r="H11" s="157"/>
      <c r="I11" s="158">
        <v>12848</v>
      </c>
      <c r="J11" s="158">
        <v>19168</v>
      </c>
      <c r="K11" s="157"/>
      <c r="L11" s="158">
        <v>9548</v>
      </c>
      <c r="M11" s="158">
        <v>23190</v>
      </c>
      <c r="N11" s="158">
        <v>9548</v>
      </c>
      <c r="O11" s="158">
        <v>2694</v>
      </c>
      <c r="P11" s="158">
        <v>9548</v>
      </c>
      <c r="Q11" s="157"/>
      <c r="R11" s="157"/>
      <c r="S11" s="158">
        <v>9548</v>
      </c>
      <c r="T11" s="158">
        <v>9548</v>
      </c>
      <c r="U11" s="158">
        <v>12848</v>
      </c>
      <c r="V11" s="158">
        <v>9548</v>
      </c>
      <c r="W11" s="158">
        <v>19168</v>
      </c>
    </row>
    <row r="12" spans="1:23" x14ac:dyDescent="0.35">
      <c r="A12" s="155" t="s">
        <v>164</v>
      </c>
      <c r="B12" s="156"/>
      <c r="C12" s="171">
        <v>43230</v>
      </c>
      <c r="D12" s="171"/>
      <c r="E12" s="171"/>
      <c r="F12" s="171"/>
      <c r="G12" s="171"/>
      <c r="H12" s="171"/>
      <c r="I12" s="171">
        <v>43230</v>
      </c>
      <c r="J12" s="171">
        <v>43522</v>
      </c>
      <c r="K12" s="171"/>
      <c r="L12" s="171">
        <v>43073</v>
      </c>
      <c r="M12" s="171">
        <v>43749</v>
      </c>
      <c r="N12" s="171">
        <v>43073</v>
      </c>
      <c r="O12" s="171">
        <v>42404</v>
      </c>
      <c r="P12" s="171">
        <v>43073</v>
      </c>
      <c r="Q12" s="171"/>
      <c r="R12" s="171"/>
      <c r="S12" s="171">
        <v>43073</v>
      </c>
      <c r="T12" s="171">
        <v>43073</v>
      </c>
      <c r="U12" s="171">
        <v>43230</v>
      </c>
      <c r="V12" s="171">
        <v>43073</v>
      </c>
      <c r="W12" s="171">
        <v>43522</v>
      </c>
    </row>
    <row r="13" spans="1:23" ht="29" x14ac:dyDescent="0.35">
      <c r="A13" s="160" t="s">
        <v>165</v>
      </c>
      <c r="B13" s="161"/>
      <c r="C13" s="162" t="s">
        <v>166</v>
      </c>
      <c r="D13" s="157"/>
      <c r="E13" s="157"/>
      <c r="F13" s="157"/>
      <c r="G13" s="157"/>
      <c r="H13" s="157"/>
      <c r="I13" s="162" t="s">
        <v>166</v>
      </c>
      <c r="J13" s="162" t="s">
        <v>166</v>
      </c>
      <c r="K13" s="157"/>
      <c r="L13" s="162" t="s">
        <v>166</v>
      </c>
      <c r="M13" s="162" t="s">
        <v>166</v>
      </c>
      <c r="N13" s="162" t="s">
        <v>166</v>
      </c>
      <c r="O13" s="162" t="s">
        <v>166</v>
      </c>
      <c r="P13" s="162" t="s">
        <v>166</v>
      </c>
      <c r="Q13" s="157"/>
      <c r="R13" s="157"/>
      <c r="S13" s="162" t="s">
        <v>166</v>
      </c>
      <c r="T13" s="162" t="s">
        <v>166</v>
      </c>
      <c r="U13" s="162" t="s">
        <v>166</v>
      </c>
      <c r="V13" s="162" t="s">
        <v>166</v>
      </c>
      <c r="W13" s="162" t="s">
        <v>166</v>
      </c>
    </row>
    <row r="14" spans="1:23" x14ac:dyDescent="0.35">
      <c r="A14" s="225" t="s">
        <v>167</v>
      </c>
      <c r="B14" s="225"/>
      <c r="C14" s="225">
        <f>IFERROR(C11-C10,"")</f>
        <v>12848</v>
      </c>
      <c r="D14" s="225">
        <f t="shared" ref="D14:W14" si="0">IFERROR(D11-D10,"")</f>
        <v>0</v>
      </c>
      <c r="E14" s="225">
        <f t="shared" si="0"/>
        <v>0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12848</v>
      </c>
      <c r="J14" s="225">
        <f t="shared" si="0"/>
        <v>19168</v>
      </c>
      <c r="K14" s="225">
        <f t="shared" si="0"/>
        <v>0</v>
      </c>
      <c r="L14" s="225">
        <f t="shared" si="0"/>
        <v>9548</v>
      </c>
      <c r="M14" s="225">
        <f t="shared" si="0"/>
        <v>23190</v>
      </c>
      <c r="N14" s="225">
        <f t="shared" si="0"/>
        <v>9548</v>
      </c>
      <c r="O14" s="225">
        <f t="shared" si="0"/>
        <v>2694</v>
      </c>
      <c r="P14" s="225">
        <f t="shared" si="0"/>
        <v>9548</v>
      </c>
      <c r="Q14" s="225">
        <f t="shared" si="0"/>
        <v>0</v>
      </c>
      <c r="R14" s="225">
        <f t="shared" si="0"/>
        <v>0</v>
      </c>
      <c r="S14" s="225">
        <f t="shared" si="0"/>
        <v>9548</v>
      </c>
      <c r="T14" s="225">
        <f t="shared" si="0"/>
        <v>9548</v>
      </c>
      <c r="U14" s="225">
        <f t="shared" si="0"/>
        <v>12848</v>
      </c>
      <c r="V14" s="225">
        <f t="shared" si="0"/>
        <v>9548</v>
      </c>
      <c r="W14" s="225">
        <f t="shared" si="0"/>
        <v>19168</v>
      </c>
    </row>
    <row r="15" spans="1:23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</row>
    <row r="16" spans="1:23" x14ac:dyDescent="0.35">
      <c r="A16" s="150" t="s">
        <v>159</v>
      </c>
      <c r="B16" s="151"/>
      <c r="C16" s="171">
        <v>43230</v>
      </c>
      <c r="D16" s="171"/>
      <c r="E16" s="171"/>
      <c r="F16" s="171"/>
      <c r="G16" s="171"/>
      <c r="H16" s="171"/>
      <c r="I16" s="171">
        <v>43230</v>
      </c>
      <c r="J16" s="171"/>
      <c r="K16" s="171"/>
      <c r="L16" s="171">
        <v>43073</v>
      </c>
      <c r="M16" s="171"/>
      <c r="N16" s="171">
        <v>43073</v>
      </c>
      <c r="O16" s="171">
        <v>42404</v>
      </c>
      <c r="P16" s="171">
        <v>43073</v>
      </c>
      <c r="Q16" s="171"/>
      <c r="R16" s="171"/>
      <c r="S16" s="171">
        <v>43073</v>
      </c>
      <c r="T16" s="171">
        <v>43073</v>
      </c>
      <c r="U16" s="171"/>
      <c r="V16" s="171">
        <v>43073</v>
      </c>
      <c r="W16" s="171">
        <v>43522</v>
      </c>
    </row>
    <row r="17" spans="1:23" x14ac:dyDescent="0.35">
      <c r="A17" s="155" t="s">
        <v>161</v>
      </c>
      <c r="B17" s="156" t="s">
        <v>162</v>
      </c>
      <c r="C17" s="158">
        <v>12848</v>
      </c>
      <c r="D17" s="157"/>
      <c r="E17" s="157"/>
      <c r="F17" s="157"/>
      <c r="G17" s="157"/>
      <c r="H17" s="157"/>
      <c r="I17" s="158">
        <v>12848</v>
      </c>
      <c r="J17" s="158"/>
      <c r="K17" s="157"/>
      <c r="L17" s="158">
        <v>9548</v>
      </c>
      <c r="M17" s="157"/>
      <c r="N17" s="158">
        <v>9548</v>
      </c>
      <c r="O17" s="158">
        <v>2694</v>
      </c>
      <c r="P17" s="158">
        <v>9548</v>
      </c>
      <c r="Q17" s="157"/>
      <c r="R17" s="157"/>
      <c r="S17" s="158">
        <v>9548</v>
      </c>
      <c r="T17" s="158">
        <v>9548</v>
      </c>
      <c r="U17" s="157"/>
      <c r="V17" s="158">
        <v>9548</v>
      </c>
      <c r="W17" s="158">
        <v>19168</v>
      </c>
    </row>
    <row r="18" spans="1:23" x14ac:dyDescent="0.35">
      <c r="A18" s="155" t="s">
        <v>161</v>
      </c>
      <c r="B18" s="156" t="s">
        <v>163</v>
      </c>
      <c r="C18" s="158">
        <v>19168</v>
      </c>
      <c r="D18" s="157"/>
      <c r="E18" s="157"/>
      <c r="F18" s="157"/>
      <c r="G18" s="157"/>
      <c r="H18" s="157"/>
      <c r="I18" s="158">
        <v>25200</v>
      </c>
      <c r="J18" s="158"/>
      <c r="K18" s="157"/>
      <c r="L18" s="158">
        <v>12848</v>
      </c>
      <c r="M18" s="157"/>
      <c r="N18" s="158">
        <v>25681</v>
      </c>
      <c r="O18" s="158">
        <v>10196</v>
      </c>
      <c r="P18" s="158">
        <v>19168</v>
      </c>
      <c r="Q18" s="157"/>
      <c r="R18" s="157"/>
      <c r="S18" s="158">
        <v>25681</v>
      </c>
      <c r="T18" s="158">
        <v>25681</v>
      </c>
      <c r="U18" s="157"/>
      <c r="V18" s="158">
        <v>25681</v>
      </c>
      <c r="W18" s="158">
        <v>23190</v>
      </c>
    </row>
    <row r="19" spans="1:23" x14ac:dyDescent="0.35">
      <c r="A19" s="155" t="s">
        <v>164</v>
      </c>
      <c r="B19" s="156"/>
      <c r="C19" s="171">
        <v>43522</v>
      </c>
      <c r="D19" s="171"/>
      <c r="E19" s="171"/>
      <c r="F19" s="171"/>
      <c r="G19" s="171"/>
      <c r="H19" s="171"/>
      <c r="I19" s="171">
        <v>43749</v>
      </c>
      <c r="J19" s="171"/>
      <c r="K19" s="171"/>
      <c r="L19" s="171">
        <v>43230</v>
      </c>
      <c r="M19" s="171"/>
      <c r="N19" s="171">
        <v>43897</v>
      </c>
      <c r="O19" s="171">
        <v>43100</v>
      </c>
      <c r="P19" s="171">
        <v>43522</v>
      </c>
      <c r="Q19" s="171"/>
      <c r="R19" s="171"/>
      <c r="S19" s="171">
        <v>43897</v>
      </c>
      <c r="T19" s="171">
        <v>43897</v>
      </c>
      <c r="U19" s="171"/>
      <c r="V19" s="171">
        <v>43897</v>
      </c>
      <c r="W19" s="171">
        <v>43749</v>
      </c>
    </row>
    <row r="20" spans="1:23" ht="29" x14ac:dyDescent="0.35">
      <c r="A20" s="160" t="s">
        <v>165</v>
      </c>
      <c r="B20" s="167"/>
      <c r="C20" s="162" t="s">
        <v>166</v>
      </c>
      <c r="D20" s="157"/>
      <c r="E20" s="157"/>
      <c r="F20" s="157"/>
      <c r="G20" s="157"/>
      <c r="H20" s="157"/>
      <c r="I20" s="162" t="s">
        <v>166</v>
      </c>
      <c r="J20" s="162"/>
      <c r="K20" s="157"/>
      <c r="L20" s="162" t="s">
        <v>166</v>
      </c>
      <c r="M20" s="157"/>
      <c r="N20" s="162" t="s">
        <v>166</v>
      </c>
      <c r="O20" s="162" t="s">
        <v>166</v>
      </c>
      <c r="P20" s="162" t="s">
        <v>166</v>
      </c>
      <c r="Q20" s="157"/>
      <c r="R20" s="157"/>
      <c r="S20" s="162" t="s">
        <v>166</v>
      </c>
      <c r="T20" s="162" t="s">
        <v>166</v>
      </c>
      <c r="U20" s="157"/>
      <c r="V20" s="162" t="s">
        <v>166</v>
      </c>
      <c r="W20" s="162" t="s">
        <v>166</v>
      </c>
    </row>
    <row r="21" spans="1:23" x14ac:dyDescent="0.35">
      <c r="A21" s="225" t="s">
        <v>167</v>
      </c>
      <c r="B21" s="225"/>
      <c r="C21" s="225">
        <f>IFERROR(C18-C17,"")</f>
        <v>6320</v>
      </c>
      <c r="D21" s="225">
        <f t="shared" ref="D21:W21" si="1">IFERROR(D18-D17,"")</f>
        <v>0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12352</v>
      </c>
      <c r="J21" s="225">
        <f t="shared" si="1"/>
        <v>0</v>
      </c>
      <c r="K21" s="225">
        <f t="shared" si="1"/>
        <v>0</v>
      </c>
      <c r="L21" s="225">
        <f t="shared" si="1"/>
        <v>3300</v>
      </c>
      <c r="M21" s="225">
        <f t="shared" si="1"/>
        <v>0</v>
      </c>
      <c r="N21" s="225">
        <f t="shared" si="1"/>
        <v>16133</v>
      </c>
      <c r="O21" s="225">
        <f t="shared" si="1"/>
        <v>7502</v>
      </c>
      <c r="P21" s="225">
        <f t="shared" si="1"/>
        <v>9620</v>
      </c>
      <c r="Q21" s="225">
        <f t="shared" si="1"/>
        <v>0</v>
      </c>
      <c r="R21" s="225">
        <f t="shared" si="1"/>
        <v>0</v>
      </c>
      <c r="S21" s="225">
        <f t="shared" si="1"/>
        <v>16133</v>
      </c>
      <c r="T21" s="225">
        <f t="shared" si="1"/>
        <v>16133</v>
      </c>
      <c r="U21" s="225">
        <f t="shared" si="1"/>
        <v>0</v>
      </c>
      <c r="V21" s="225">
        <f t="shared" si="1"/>
        <v>16133</v>
      </c>
      <c r="W21" s="225">
        <f t="shared" si="1"/>
        <v>4022</v>
      </c>
    </row>
    <row r="22" spans="1:23" ht="16.399999999999999" customHeight="1" x14ac:dyDescent="0.35">
      <c r="A22" s="65" t="s">
        <v>2</v>
      </c>
      <c r="B22" s="65"/>
      <c r="C22" s="65">
        <f>AVERAGE(C14,C21)</f>
        <v>9584</v>
      </c>
      <c r="D22" s="65">
        <f t="shared" ref="D22:W22" si="2">AVERAGE(D14,D21)</f>
        <v>0</v>
      </c>
      <c r="E22" s="65">
        <f t="shared" si="2"/>
        <v>0</v>
      </c>
      <c r="F22" s="65">
        <f t="shared" si="2"/>
        <v>0</v>
      </c>
      <c r="G22" s="65">
        <f t="shared" si="2"/>
        <v>0</v>
      </c>
      <c r="H22" s="65">
        <f t="shared" si="2"/>
        <v>0</v>
      </c>
      <c r="I22" s="65">
        <f t="shared" si="2"/>
        <v>12600</v>
      </c>
      <c r="J22" s="65">
        <f t="shared" si="2"/>
        <v>9584</v>
      </c>
      <c r="K22" s="65">
        <f t="shared" si="2"/>
        <v>0</v>
      </c>
      <c r="L22" s="65">
        <f t="shared" si="2"/>
        <v>6424</v>
      </c>
      <c r="M22" s="65">
        <f t="shared" si="2"/>
        <v>11595</v>
      </c>
      <c r="N22" s="65">
        <f t="shared" si="2"/>
        <v>12840.5</v>
      </c>
      <c r="O22" s="65">
        <f t="shared" si="2"/>
        <v>5098</v>
      </c>
      <c r="P22" s="65">
        <f t="shared" si="2"/>
        <v>9584</v>
      </c>
      <c r="Q22" s="65">
        <f t="shared" si="2"/>
        <v>0</v>
      </c>
      <c r="R22" s="65">
        <f t="shared" si="2"/>
        <v>0</v>
      </c>
      <c r="S22" s="65">
        <f t="shared" si="2"/>
        <v>12840.5</v>
      </c>
      <c r="T22" s="65">
        <f t="shared" si="2"/>
        <v>12840.5</v>
      </c>
      <c r="U22" s="65">
        <f t="shared" si="2"/>
        <v>6424</v>
      </c>
      <c r="V22" s="65">
        <f t="shared" si="2"/>
        <v>12840.5</v>
      </c>
      <c r="W22" s="65">
        <f t="shared" si="2"/>
        <v>11595</v>
      </c>
    </row>
    <row r="23" spans="1:23" x14ac:dyDescent="0.35">
      <c r="A23" s="150" t="s">
        <v>159</v>
      </c>
      <c r="B23" s="151"/>
      <c r="C23" s="171">
        <v>43522</v>
      </c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2">
        <v>43897</v>
      </c>
      <c r="O23" s="171">
        <v>43100</v>
      </c>
      <c r="P23" s="171">
        <v>43522</v>
      </c>
      <c r="Q23" s="168"/>
      <c r="R23" s="154"/>
      <c r="S23" s="154"/>
      <c r="T23" s="154"/>
      <c r="U23" s="154"/>
      <c r="V23" s="171">
        <v>43897</v>
      </c>
      <c r="W23" s="154"/>
    </row>
    <row r="24" spans="1:23" x14ac:dyDescent="0.35">
      <c r="A24" s="155" t="s">
        <v>161</v>
      </c>
      <c r="B24" s="156" t="s">
        <v>162</v>
      </c>
      <c r="C24" s="158">
        <v>19168</v>
      </c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>
        <v>25681</v>
      </c>
      <c r="O24" s="158">
        <v>10196</v>
      </c>
      <c r="P24" s="158">
        <v>19168</v>
      </c>
      <c r="Q24" s="157"/>
      <c r="R24" s="157"/>
      <c r="S24" s="157"/>
      <c r="T24" s="157"/>
      <c r="U24" s="157"/>
      <c r="V24" s="158">
        <v>25681</v>
      </c>
      <c r="W24" s="157"/>
    </row>
    <row r="25" spans="1:23" x14ac:dyDescent="0.35">
      <c r="A25" s="155" t="s">
        <v>161</v>
      </c>
      <c r="B25" s="156" t="s">
        <v>163</v>
      </c>
      <c r="C25" s="158">
        <v>25681</v>
      </c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>
        <v>33158</v>
      </c>
      <c r="O25" s="158">
        <v>12848</v>
      </c>
      <c r="P25" s="158">
        <v>24000</v>
      </c>
      <c r="Q25" s="157"/>
      <c r="R25" s="157"/>
      <c r="S25" s="157"/>
      <c r="T25" s="157"/>
      <c r="U25" s="157"/>
      <c r="V25" s="158">
        <v>31249</v>
      </c>
      <c r="W25" s="157"/>
    </row>
    <row r="26" spans="1:23" x14ac:dyDescent="0.35">
      <c r="A26" s="155" t="s">
        <v>164</v>
      </c>
      <c r="B26" s="156"/>
      <c r="C26" s="171">
        <v>43897</v>
      </c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 t="s">
        <v>297</v>
      </c>
      <c r="O26" s="171">
        <v>43230</v>
      </c>
      <c r="P26" s="171">
        <v>43749</v>
      </c>
      <c r="Q26" s="157"/>
      <c r="R26" s="157"/>
      <c r="S26" s="157"/>
      <c r="T26" s="157"/>
      <c r="U26" s="157"/>
      <c r="V26" s="171">
        <v>44129</v>
      </c>
      <c r="W26" s="157"/>
    </row>
    <row r="27" spans="1:23" ht="29" x14ac:dyDescent="0.35">
      <c r="A27" s="160" t="s">
        <v>165</v>
      </c>
      <c r="B27" s="167"/>
      <c r="C27" s="162" t="s">
        <v>166</v>
      </c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 t="s">
        <v>273</v>
      </c>
      <c r="O27" s="162" t="s">
        <v>166</v>
      </c>
      <c r="P27" s="162" t="s">
        <v>166</v>
      </c>
      <c r="Q27" s="157"/>
      <c r="R27" s="157"/>
      <c r="S27" s="157"/>
      <c r="T27" s="157"/>
      <c r="U27" s="157"/>
      <c r="V27" s="162" t="s">
        <v>166</v>
      </c>
      <c r="W27" s="157"/>
    </row>
    <row r="28" spans="1:23" x14ac:dyDescent="0.35">
      <c r="A28" s="225" t="s">
        <v>167</v>
      </c>
      <c r="B28" s="225"/>
      <c r="C28" s="225">
        <f>IFERROR(C25-C24,"")</f>
        <v>6513</v>
      </c>
      <c r="D28" s="225">
        <f t="shared" ref="D28:W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7477</v>
      </c>
      <c r="O28" s="225">
        <f t="shared" si="3"/>
        <v>2652</v>
      </c>
      <c r="P28" s="225">
        <f t="shared" si="3"/>
        <v>4832</v>
      </c>
      <c r="Q28" s="225">
        <f t="shared" si="3"/>
        <v>0</v>
      </c>
      <c r="R28" s="225">
        <f t="shared" si="3"/>
        <v>0</v>
      </c>
      <c r="S28" s="225">
        <f t="shared" si="3"/>
        <v>0</v>
      </c>
      <c r="T28" s="225">
        <f t="shared" si="3"/>
        <v>0</v>
      </c>
      <c r="U28" s="225">
        <f t="shared" si="3"/>
        <v>0</v>
      </c>
      <c r="V28" s="225">
        <f t="shared" si="3"/>
        <v>5568</v>
      </c>
      <c r="W28" s="225">
        <f t="shared" si="3"/>
        <v>0</v>
      </c>
    </row>
    <row r="29" spans="1:23" ht="16.399999999999999" customHeight="1" x14ac:dyDescent="0.35">
      <c r="A29" s="65" t="s">
        <v>2</v>
      </c>
      <c r="B29" s="65"/>
      <c r="C29" s="65">
        <f>AVERAGE(C21,C28,C14)</f>
        <v>8560.3333333333339</v>
      </c>
      <c r="D29" s="65">
        <f t="shared" ref="D29:W29" si="4">AVERAGE(D21,D28,D14)</f>
        <v>0</v>
      </c>
      <c r="E29" s="65">
        <f t="shared" si="4"/>
        <v>0</v>
      </c>
      <c r="F29" s="65">
        <f t="shared" si="4"/>
        <v>0</v>
      </c>
      <c r="G29" s="65">
        <f t="shared" si="4"/>
        <v>0</v>
      </c>
      <c r="H29" s="65">
        <f t="shared" si="4"/>
        <v>0</v>
      </c>
      <c r="I29" s="65">
        <f t="shared" si="4"/>
        <v>8400</v>
      </c>
      <c r="J29" s="65">
        <f t="shared" si="4"/>
        <v>6389.333333333333</v>
      </c>
      <c r="K29" s="65">
        <f t="shared" si="4"/>
        <v>0</v>
      </c>
      <c r="L29" s="65">
        <f t="shared" si="4"/>
        <v>4282.666666666667</v>
      </c>
      <c r="M29" s="65">
        <f t="shared" si="4"/>
        <v>7730</v>
      </c>
      <c r="N29" s="65">
        <f t="shared" si="4"/>
        <v>11052.666666666666</v>
      </c>
      <c r="O29" s="65">
        <f t="shared" si="4"/>
        <v>4282.666666666667</v>
      </c>
      <c r="P29" s="65">
        <f t="shared" si="4"/>
        <v>8000</v>
      </c>
      <c r="Q29" s="65">
        <f t="shared" si="4"/>
        <v>0</v>
      </c>
      <c r="R29" s="65">
        <f t="shared" si="4"/>
        <v>0</v>
      </c>
      <c r="S29" s="65">
        <f t="shared" si="4"/>
        <v>8560.3333333333339</v>
      </c>
      <c r="T29" s="65">
        <f t="shared" si="4"/>
        <v>8560.3333333333339</v>
      </c>
      <c r="U29" s="65">
        <f t="shared" si="4"/>
        <v>4282.666666666667</v>
      </c>
      <c r="V29" s="65">
        <f t="shared" si="4"/>
        <v>10416.333333333334</v>
      </c>
      <c r="W29" s="65">
        <f t="shared" si="4"/>
        <v>7730</v>
      </c>
    </row>
    <row r="30" spans="1:23" x14ac:dyDescent="0.35">
      <c r="A30" s="150" t="s">
        <v>159</v>
      </c>
      <c r="B30" s="151"/>
      <c r="C30" s="211">
        <v>43897</v>
      </c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 t="s">
        <v>297</v>
      </c>
      <c r="O30" s="171">
        <v>43230</v>
      </c>
      <c r="P30" s="171">
        <v>43749</v>
      </c>
      <c r="Q30" s="154"/>
      <c r="R30" s="154"/>
      <c r="S30" s="154"/>
      <c r="T30" s="154"/>
      <c r="U30" s="154"/>
      <c r="V30" s="152">
        <v>44129</v>
      </c>
      <c r="W30" s="154"/>
    </row>
    <row r="31" spans="1:23" x14ac:dyDescent="0.35">
      <c r="A31" s="155" t="s">
        <v>161</v>
      </c>
      <c r="B31" s="156" t="s">
        <v>162</v>
      </c>
      <c r="C31" s="165">
        <v>25681</v>
      </c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>
        <v>33158</v>
      </c>
      <c r="O31" s="158">
        <v>12848</v>
      </c>
      <c r="P31" s="158">
        <v>24000</v>
      </c>
      <c r="Q31" s="157"/>
      <c r="R31" s="157"/>
      <c r="S31" s="157"/>
      <c r="T31" s="157"/>
      <c r="U31" s="157"/>
      <c r="V31" s="157">
        <v>31249</v>
      </c>
      <c r="W31" s="157"/>
    </row>
    <row r="32" spans="1:23" x14ac:dyDescent="0.35">
      <c r="A32" s="155" t="s">
        <v>161</v>
      </c>
      <c r="B32" s="156" t="s">
        <v>163</v>
      </c>
      <c r="C32" s="165">
        <v>33158</v>
      </c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>
        <v>38873</v>
      </c>
      <c r="O32" s="158">
        <v>19168</v>
      </c>
      <c r="P32" s="158">
        <v>31249</v>
      </c>
      <c r="Q32" s="157"/>
      <c r="R32" s="157"/>
      <c r="S32" s="157"/>
      <c r="T32" s="157"/>
      <c r="U32" s="157"/>
      <c r="V32" s="157">
        <v>34180</v>
      </c>
      <c r="W32" s="157"/>
    </row>
    <row r="33" spans="1:23" x14ac:dyDescent="0.35">
      <c r="A33" s="155" t="s">
        <v>164</v>
      </c>
      <c r="B33" s="156"/>
      <c r="C33" s="165" t="s">
        <v>297</v>
      </c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 t="s">
        <v>243</v>
      </c>
      <c r="O33" s="171">
        <v>43522</v>
      </c>
      <c r="P33" s="171">
        <v>44129</v>
      </c>
      <c r="Q33" s="157"/>
      <c r="R33" s="157"/>
      <c r="S33" s="157"/>
      <c r="T33" s="157"/>
      <c r="U33" s="157"/>
      <c r="V33" s="157" t="s">
        <v>249</v>
      </c>
      <c r="W33" s="157"/>
    </row>
    <row r="34" spans="1:23" ht="29" x14ac:dyDescent="0.35">
      <c r="A34" s="160" t="s">
        <v>165</v>
      </c>
      <c r="B34" s="167"/>
      <c r="C34" s="165" t="s">
        <v>273</v>
      </c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62" t="s">
        <v>166</v>
      </c>
      <c r="P34" s="162" t="s">
        <v>166</v>
      </c>
      <c r="Q34" s="157"/>
      <c r="R34" s="157"/>
      <c r="S34" s="157"/>
      <c r="T34" s="157"/>
      <c r="U34" s="157"/>
      <c r="V34" s="157" t="s">
        <v>252</v>
      </c>
      <c r="W34" s="157"/>
    </row>
    <row r="35" spans="1:23" x14ac:dyDescent="0.35">
      <c r="A35" s="225" t="s">
        <v>167</v>
      </c>
      <c r="B35" s="225"/>
      <c r="C35" s="225">
        <f>IFERROR(C32-C31,"")</f>
        <v>7477</v>
      </c>
      <c r="D35" s="225">
        <f t="shared" ref="D35:W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5715</v>
      </c>
      <c r="O35" s="225">
        <f t="shared" si="5"/>
        <v>6320</v>
      </c>
      <c r="P35" s="225">
        <f t="shared" si="5"/>
        <v>7249</v>
      </c>
      <c r="Q35" s="225">
        <f t="shared" si="5"/>
        <v>0</v>
      </c>
      <c r="R35" s="225">
        <f t="shared" si="5"/>
        <v>0</v>
      </c>
      <c r="S35" s="225">
        <f t="shared" si="5"/>
        <v>0</v>
      </c>
      <c r="T35" s="225">
        <f t="shared" si="5"/>
        <v>0</v>
      </c>
      <c r="U35" s="225">
        <f t="shared" si="5"/>
        <v>0</v>
      </c>
      <c r="V35" s="225">
        <f t="shared" si="5"/>
        <v>2931</v>
      </c>
      <c r="W35" s="225">
        <f t="shared" si="5"/>
        <v>0</v>
      </c>
    </row>
    <row r="36" spans="1:23" ht="16.399999999999999" customHeight="1" x14ac:dyDescent="0.35">
      <c r="A36" s="65" t="s">
        <v>2</v>
      </c>
      <c r="B36" s="65"/>
      <c r="C36" s="65">
        <f>AVERAGE(C28,C35,C21,C14)</f>
        <v>8289.5</v>
      </c>
      <c r="D36" s="65">
        <f t="shared" ref="D36:W36" si="6">AVERAGE(D28,D35,D21,D14)</f>
        <v>0</v>
      </c>
      <c r="E36" s="65">
        <f t="shared" si="6"/>
        <v>0</v>
      </c>
      <c r="F36" s="65">
        <f t="shared" si="6"/>
        <v>0</v>
      </c>
      <c r="G36" s="65">
        <f t="shared" si="6"/>
        <v>0</v>
      </c>
      <c r="H36" s="65">
        <f t="shared" si="6"/>
        <v>0</v>
      </c>
      <c r="I36" s="65">
        <f t="shared" si="6"/>
        <v>6300</v>
      </c>
      <c r="J36" s="65">
        <f t="shared" si="6"/>
        <v>4792</v>
      </c>
      <c r="K36" s="65">
        <f t="shared" si="6"/>
        <v>0</v>
      </c>
      <c r="L36" s="65">
        <f t="shared" si="6"/>
        <v>3212</v>
      </c>
      <c r="M36" s="65">
        <f t="shared" si="6"/>
        <v>5797.5</v>
      </c>
      <c r="N36" s="65">
        <f t="shared" si="6"/>
        <v>9718.25</v>
      </c>
      <c r="O36" s="65">
        <f t="shared" si="6"/>
        <v>4792</v>
      </c>
      <c r="P36" s="65">
        <f t="shared" si="6"/>
        <v>7812.25</v>
      </c>
      <c r="Q36" s="65">
        <f t="shared" si="6"/>
        <v>0</v>
      </c>
      <c r="R36" s="65">
        <f t="shared" si="6"/>
        <v>0</v>
      </c>
      <c r="S36" s="65">
        <f t="shared" si="6"/>
        <v>6420.25</v>
      </c>
      <c r="T36" s="65">
        <f t="shared" si="6"/>
        <v>6420.25</v>
      </c>
      <c r="U36" s="65">
        <f t="shared" si="6"/>
        <v>3212</v>
      </c>
      <c r="V36" s="65">
        <f t="shared" si="6"/>
        <v>8545</v>
      </c>
      <c r="W36" s="65">
        <f t="shared" si="6"/>
        <v>5797.5</v>
      </c>
    </row>
    <row r="37" spans="1:23" x14ac:dyDescent="0.35">
      <c r="A37" s="150" t="s">
        <v>159</v>
      </c>
      <c r="B37" s="151"/>
      <c r="C37" s="163" t="s">
        <v>297</v>
      </c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71">
        <v>43522</v>
      </c>
      <c r="P37" s="171">
        <v>44129</v>
      </c>
      <c r="Q37" s="154"/>
      <c r="R37" s="154"/>
      <c r="S37" s="154"/>
      <c r="T37" s="154"/>
      <c r="U37" s="154"/>
      <c r="V37" s="154" t="s">
        <v>249</v>
      </c>
      <c r="W37" s="154"/>
    </row>
    <row r="38" spans="1:23" x14ac:dyDescent="0.35">
      <c r="A38" s="155" t="s">
        <v>161</v>
      </c>
      <c r="B38" s="156" t="s">
        <v>162</v>
      </c>
      <c r="C38" s="165">
        <v>33158</v>
      </c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8">
        <v>19168</v>
      </c>
      <c r="P38" s="158">
        <v>31249</v>
      </c>
      <c r="Q38" s="157"/>
      <c r="R38" s="157"/>
      <c r="S38" s="157"/>
      <c r="T38" s="157"/>
      <c r="U38" s="157"/>
      <c r="V38" s="157">
        <v>34180</v>
      </c>
      <c r="W38" s="157"/>
    </row>
    <row r="39" spans="1:23" x14ac:dyDescent="0.35">
      <c r="A39" s="155" t="s">
        <v>161</v>
      </c>
      <c r="B39" s="156" t="s">
        <v>163</v>
      </c>
      <c r="C39" s="165">
        <v>37240</v>
      </c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8">
        <v>24000</v>
      </c>
      <c r="P39" s="158">
        <v>32193</v>
      </c>
      <c r="Q39" s="157"/>
      <c r="R39" s="157"/>
      <c r="S39" s="157"/>
      <c r="T39" s="157"/>
      <c r="U39" s="157"/>
      <c r="V39" s="157">
        <v>38873</v>
      </c>
      <c r="W39" s="157"/>
    </row>
    <row r="40" spans="1:23" x14ac:dyDescent="0.35">
      <c r="A40" s="155" t="s">
        <v>164</v>
      </c>
      <c r="B40" s="156"/>
      <c r="C40" s="165" t="s">
        <v>271</v>
      </c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71">
        <v>43749</v>
      </c>
      <c r="P40" s="171">
        <v>44169</v>
      </c>
      <c r="Q40" s="157"/>
      <c r="R40" s="157"/>
      <c r="S40" s="157"/>
      <c r="T40" s="157"/>
      <c r="U40" s="157"/>
      <c r="V40" s="157" t="s">
        <v>244</v>
      </c>
      <c r="W40" s="157"/>
    </row>
    <row r="41" spans="1:23" ht="29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62" t="s">
        <v>166</v>
      </c>
      <c r="P41" s="162" t="s">
        <v>166</v>
      </c>
      <c r="Q41" s="157"/>
      <c r="R41" s="157"/>
      <c r="S41" s="157"/>
      <c r="T41" s="157"/>
      <c r="U41" s="157"/>
      <c r="V41" s="157"/>
      <c r="W41" s="157"/>
    </row>
    <row r="42" spans="1:23" x14ac:dyDescent="0.35">
      <c r="A42" s="225" t="s">
        <v>167</v>
      </c>
      <c r="B42" s="225"/>
      <c r="C42" s="225">
        <f>IFERROR(C39-C38,"")</f>
        <v>4082</v>
      </c>
      <c r="D42" s="225">
        <f t="shared" ref="D42:W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4832</v>
      </c>
      <c r="P42" s="225">
        <f t="shared" si="7"/>
        <v>944</v>
      </c>
      <c r="Q42" s="225">
        <f t="shared" si="7"/>
        <v>0</v>
      </c>
      <c r="R42" s="225">
        <f t="shared" si="7"/>
        <v>0</v>
      </c>
      <c r="S42" s="225">
        <f t="shared" si="7"/>
        <v>0</v>
      </c>
      <c r="T42" s="225">
        <f t="shared" si="7"/>
        <v>0</v>
      </c>
      <c r="U42" s="225">
        <f t="shared" si="7"/>
        <v>0</v>
      </c>
      <c r="V42" s="225">
        <f t="shared" si="7"/>
        <v>4693</v>
      </c>
      <c r="W42" s="225">
        <f t="shared" si="7"/>
        <v>0</v>
      </c>
    </row>
    <row r="43" spans="1:23" ht="16.399999999999999" customHeight="1" x14ac:dyDescent="0.35">
      <c r="A43" s="65" t="s">
        <v>2</v>
      </c>
      <c r="B43" s="65"/>
      <c r="C43" s="65">
        <f>AVERAGE(C35,C42,C28,C21,C14)</f>
        <v>7448</v>
      </c>
      <c r="D43" s="65">
        <f t="shared" ref="D43:W43" si="8">AVERAGE(D35,D42,D28,D21,D14)</f>
        <v>0</v>
      </c>
      <c r="E43" s="65">
        <f t="shared" si="8"/>
        <v>0</v>
      </c>
      <c r="F43" s="65">
        <f t="shared" si="8"/>
        <v>0</v>
      </c>
      <c r="G43" s="65">
        <f t="shared" si="8"/>
        <v>0</v>
      </c>
      <c r="H43" s="65">
        <f t="shared" si="8"/>
        <v>0</v>
      </c>
      <c r="I43" s="65">
        <f t="shared" si="8"/>
        <v>5040</v>
      </c>
      <c r="J43" s="65">
        <f t="shared" si="8"/>
        <v>3833.6</v>
      </c>
      <c r="K43" s="65">
        <f t="shared" si="8"/>
        <v>0</v>
      </c>
      <c r="L43" s="65">
        <f t="shared" si="8"/>
        <v>2569.6</v>
      </c>
      <c r="M43" s="65">
        <f t="shared" si="8"/>
        <v>4638</v>
      </c>
      <c r="N43" s="65">
        <f t="shared" si="8"/>
        <v>7774.6</v>
      </c>
      <c r="O43" s="65">
        <f t="shared" si="8"/>
        <v>4800</v>
      </c>
      <c r="P43" s="65">
        <f t="shared" si="8"/>
        <v>6438.6</v>
      </c>
      <c r="Q43" s="65">
        <f t="shared" si="8"/>
        <v>0</v>
      </c>
      <c r="R43" s="65">
        <f t="shared" si="8"/>
        <v>0</v>
      </c>
      <c r="S43" s="65">
        <f t="shared" si="8"/>
        <v>5136.2</v>
      </c>
      <c r="T43" s="65">
        <f t="shared" si="8"/>
        <v>5136.2</v>
      </c>
      <c r="U43" s="65">
        <f t="shared" si="8"/>
        <v>2569.6</v>
      </c>
      <c r="V43" s="65">
        <f t="shared" si="8"/>
        <v>7774.6</v>
      </c>
      <c r="W43" s="65">
        <f t="shared" si="8"/>
        <v>4638</v>
      </c>
    </row>
    <row r="44" spans="1:23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71">
        <v>43749</v>
      </c>
      <c r="P44" s="152">
        <v>44169</v>
      </c>
      <c r="Q44" s="154"/>
      <c r="R44" s="154"/>
      <c r="S44" s="154"/>
      <c r="T44" s="154"/>
      <c r="U44" s="154"/>
      <c r="V44" s="154"/>
      <c r="W44" s="154"/>
    </row>
    <row r="45" spans="1:23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8">
        <v>24000</v>
      </c>
      <c r="P45" s="157">
        <v>32193</v>
      </c>
      <c r="Q45" s="157"/>
      <c r="R45" s="157"/>
      <c r="S45" s="157"/>
      <c r="T45" s="157"/>
      <c r="U45" s="157"/>
      <c r="V45" s="157"/>
      <c r="W45" s="157"/>
    </row>
    <row r="46" spans="1:23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8">
        <v>31249</v>
      </c>
      <c r="P46" s="157">
        <v>34180</v>
      </c>
      <c r="Q46" s="157"/>
      <c r="R46" s="157"/>
      <c r="S46" s="157"/>
      <c r="T46" s="157"/>
      <c r="U46" s="157"/>
      <c r="V46" s="157"/>
      <c r="W46" s="157"/>
    </row>
    <row r="47" spans="1:23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71">
        <v>44129</v>
      </c>
      <c r="P47" s="157" t="s">
        <v>249</v>
      </c>
      <c r="Q47" s="157"/>
      <c r="R47" s="157"/>
      <c r="S47" s="157"/>
      <c r="T47" s="157"/>
      <c r="U47" s="157"/>
      <c r="V47" s="157"/>
      <c r="W47" s="157"/>
    </row>
    <row r="48" spans="1:23" ht="29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62" t="s">
        <v>166</v>
      </c>
      <c r="P48" s="157" t="s">
        <v>252</v>
      </c>
      <c r="Q48" s="157"/>
      <c r="R48" s="157"/>
      <c r="S48" s="157"/>
      <c r="T48" s="157"/>
      <c r="U48" s="157"/>
      <c r="V48" s="157"/>
      <c r="W48" s="157"/>
    </row>
    <row r="49" spans="1:23" x14ac:dyDescent="0.35">
      <c r="A49" s="225" t="s">
        <v>167</v>
      </c>
      <c r="B49" s="225"/>
      <c r="C49" s="225">
        <f>IFERROR(C46-C45,"")</f>
        <v>0</v>
      </c>
      <c r="D49" s="225">
        <f t="shared" ref="D49:W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7249</v>
      </c>
      <c r="P49" s="225">
        <f t="shared" si="9"/>
        <v>1987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  <c r="V49" s="225">
        <f t="shared" si="9"/>
        <v>0</v>
      </c>
      <c r="W49" s="225">
        <f t="shared" si="9"/>
        <v>0</v>
      </c>
    </row>
    <row r="50" spans="1:23" ht="16.399999999999999" customHeight="1" x14ac:dyDescent="0.35">
      <c r="A50" s="65" t="s">
        <v>2</v>
      </c>
      <c r="B50" s="65"/>
      <c r="C50" s="65">
        <f>AVERAGE(C42,C49,C35,C28,C21,C14)</f>
        <v>6206.666666666667</v>
      </c>
      <c r="D50" s="65">
        <f t="shared" ref="D50:W50" si="10">AVERAGE(D42,D49,D35,D28,D21,D14)</f>
        <v>0</v>
      </c>
      <c r="E50" s="65">
        <f t="shared" si="10"/>
        <v>0</v>
      </c>
      <c r="F50" s="65">
        <f t="shared" si="10"/>
        <v>0</v>
      </c>
      <c r="G50" s="65">
        <f t="shared" si="10"/>
        <v>0</v>
      </c>
      <c r="H50" s="65">
        <f t="shared" si="10"/>
        <v>0</v>
      </c>
      <c r="I50" s="65">
        <f t="shared" si="10"/>
        <v>4200</v>
      </c>
      <c r="J50" s="65">
        <f t="shared" si="10"/>
        <v>3194.6666666666665</v>
      </c>
      <c r="K50" s="65">
        <f t="shared" si="10"/>
        <v>0</v>
      </c>
      <c r="L50" s="65">
        <f t="shared" si="10"/>
        <v>2141.3333333333335</v>
      </c>
      <c r="M50" s="65">
        <f t="shared" si="10"/>
        <v>3865</v>
      </c>
      <c r="N50" s="65">
        <f t="shared" si="10"/>
        <v>6478.833333333333</v>
      </c>
      <c r="O50" s="65">
        <f t="shared" si="10"/>
        <v>5208.166666666667</v>
      </c>
      <c r="P50" s="65">
        <f t="shared" si="10"/>
        <v>5696.666666666667</v>
      </c>
      <c r="Q50" s="65">
        <f t="shared" si="10"/>
        <v>0</v>
      </c>
      <c r="R50" s="65">
        <f t="shared" si="10"/>
        <v>0</v>
      </c>
      <c r="S50" s="65">
        <f t="shared" si="10"/>
        <v>4280.166666666667</v>
      </c>
      <c r="T50" s="65">
        <f t="shared" si="10"/>
        <v>4280.166666666667</v>
      </c>
      <c r="U50" s="65">
        <f t="shared" si="10"/>
        <v>2141.3333333333335</v>
      </c>
      <c r="V50" s="65">
        <f t="shared" si="10"/>
        <v>6478.833333333333</v>
      </c>
      <c r="W50" s="65">
        <f t="shared" si="10"/>
        <v>3865</v>
      </c>
    </row>
    <row r="51" spans="1:23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71">
        <v>44129</v>
      </c>
      <c r="P51" s="154" t="s">
        <v>249</v>
      </c>
      <c r="Q51" s="154"/>
      <c r="R51" s="154"/>
      <c r="S51" s="154"/>
      <c r="T51" s="154"/>
      <c r="U51" s="154"/>
      <c r="V51" s="154"/>
      <c r="W51" s="154"/>
    </row>
    <row r="52" spans="1:23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8">
        <v>31249</v>
      </c>
      <c r="P52" s="157">
        <v>34180</v>
      </c>
      <c r="Q52" s="157"/>
      <c r="R52" s="157"/>
      <c r="S52" s="157"/>
      <c r="T52" s="157"/>
      <c r="U52" s="157"/>
      <c r="V52" s="157"/>
      <c r="W52" s="157"/>
    </row>
    <row r="53" spans="1:23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8">
        <v>32193</v>
      </c>
      <c r="P53" s="157">
        <v>38873</v>
      </c>
      <c r="Q53" s="157"/>
      <c r="R53" s="157"/>
      <c r="S53" s="157"/>
      <c r="T53" s="157"/>
      <c r="U53" s="157"/>
      <c r="V53" s="157"/>
      <c r="W53" s="157"/>
    </row>
    <row r="54" spans="1:23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71">
        <v>44169</v>
      </c>
      <c r="P54" s="157" t="s">
        <v>243</v>
      </c>
      <c r="Q54" s="157"/>
      <c r="R54" s="157"/>
      <c r="S54" s="157"/>
      <c r="T54" s="157"/>
      <c r="U54" s="157"/>
      <c r="V54" s="157"/>
      <c r="W54" s="157"/>
    </row>
    <row r="55" spans="1:23" ht="29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62" t="s">
        <v>166</v>
      </c>
      <c r="P55" s="157"/>
      <c r="Q55" s="157"/>
      <c r="R55" s="157"/>
      <c r="S55" s="157"/>
      <c r="T55" s="157"/>
      <c r="U55" s="157"/>
      <c r="V55" s="157"/>
      <c r="W55" s="157"/>
    </row>
    <row r="56" spans="1:23" x14ac:dyDescent="0.35">
      <c r="A56" s="225" t="s">
        <v>167</v>
      </c>
      <c r="B56" s="225"/>
      <c r="C56" s="225">
        <f>IFERROR(C53-C52,"")</f>
        <v>0</v>
      </c>
      <c r="D56" s="225">
        <f t="shared" ref="D56:W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944</v>
      </c>
      <c r="P56" s="225">
        <f t="shared" si="11"/>
        <v>4693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  <c r="V56" s="225">
        <f t="shared" si="11"/>
        <v>0</v>
      </c>
      <c r="W56" s="225">
        <f t="shared" si="11"/>
        <v>0</v>
      </c>
    </row>
    <row r="57" spans="1:23" ht="16.399999999999999" customHeight="1" x14ac:dyDescent="0.35">
      <c r="A57" s="65" t="s">
        <v>2</v>
      </c>
      <c r="B57" s="65"/>
      <c r="C57" s="65">
        <f>AVERAGE(C49,C56,C42,C35,C28,C21,C14)</f>
        <v>5320</v>
      </c>
      <c r="D57" s="65">
        <f t="shared" ref="D57:W57" si="12">AVERAGE(D49,D56,D42,D35,D28,D21,D14)</f>
        <v>0</v>
      </c>
      <c r="E57" s="65">
        <f t="shared" si="12"/>
        <v>0</v>
      </c>
      <c r="F57" s="65">
        <f t="shared" si="12"/>
        <v>0</v>
      </c>
      <c r="G57" s="65">
        <f t="shared" si="12"/>
        <v>0</v>
      </c>
      <c r="H57" s="65">
        <f t="shared" si="12"/>
        <v>0</v>
      </c>
      <c r="I57" s="65">
        <f t="shared" si="12"/>
        <v>3600</v>
      </c>
      <c r="J57" s="65">
        <f t="shared" si="12"/>
        <v>2738.2857142857142</v>
      </c>
      <c r="K57" s="65">
        <f t="shared" si="12"/>
        <v>0</v>
      </c>
      <c r="L57" s="65">
        <f t="shared" si="12"/>
        <v>1835.4285714285713</v>
      </c>
      <c r="M57" s="65">
        <f t="shared" si="12"/>
        <v>3312.8571428571427</v>
      </c>
      <c r="N57" s="65">
        <f t="shared" si="12"/>
        <v>5553.2857142857147</v>
      </c>
      <c r="O57" s="65">
        <f t="shared" si="12"/>
        <v>4599</v>
      </c>
      <c r="P57" s="65">
        <f t="shared" si="12"/>
        <v>5553.2857142857147</v>
      </c>
      <c r="Q57" s="65">
        <f t="shared" si="12"/>
        <v>0</v>
      </c>
      <c r="R57" s="65">
        <f t="shared" si="12"/>
        <v>0</v>
      </c>
      <c r="S57" s="65">
        <f t="shared" si="12"/>
        <v>3668.7142857142858</v>
      </c>
      <c r="T57" s="65">
        <f t="shared" si="12"/>
        <v>3668.7142857142858</v>
      </c>
      <c r="U57" s="65">
        <f t="shared" si="12"/>
        <v>1835.4285714285713</v>
      </c>
      <c r="V57" s="65">
        <f t="shared" si="12"/>
        <v>5553.2857142857147</v>
      </c>
      <c r="W57" s="65">
        <f t="shared" si="12"/>
        <v>3312.8571428571427</v>
      </c>
    </row>
    <row r="58" spans="1:23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>
        <v>44169</v>
      </c>
      <c r="P58" s="154"/>
      <c r="Q58" s="154"/>
      <c r="R58" s="154"/>
      <c r="S58" s="154"/>
      <c r="T58" s="154"/>
      <c r="U58" s="154"/>
      <c r="V58" s="154"/>
      <c r="W58" s="154"/>
    </row>
    <row r="59" spans="1:23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>
        <v>32193</v>
      </c>
      <c r="P59" s="157"/>
      <c r="Q59" s="157"/>
      <c r="R59" s="157"/>
      <c r="S59" s="157"/>
      <c r="T59" s="157"/>
      <c r="U59" s="157"/>
      <c r="V59" s="157"/>
      <c r="W59" s="157"/>
    </row>
    <row r="60" spans="1:23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>
        <v>33158</v>
      </c>
      <c r="P60" s="157"/>
      <c r="Q60" s="157"/>
      <c r="R60" s="157"/>
      <c r="S60" s="157"/>
      <c r="T60" s="157"/>
      <c r="U60" s="157"/>
      <c r="V60" s="157"/>
      <c r="W60" s="157"/>
    </row>
    <row r="61" spans="1:23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 t="s">
        <v>297</v>
      </c>
      <c r="P61" s="157"/>
      <c r="Q61" s="157"/>
      <c r="R61" s="157"/>
      <c r="S61" s="157"/>
      <c r="T61" s="157"/>
      <c r="U61" s="157"/>
      <c r="V61" s="157"/>
      <c r="W61" s="157"/>
    </row>
    <row r="62" spans="1:23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 t="s">
        <v>273</v>
      </c>
      <c r="P62" s="157"/>
      <c r="Q62" s="157"/>
      <c r="R62" s="157"/>
      <c r="S62" s="157"/>
      <c r="T62" s="157"/>
      <c r="U62" s="157"/>
      <c r="V62" s="157"/>
      <c r="W62" s="157"/>
    </row>
    <row r="63" spans="1:23" x14ac:dyDescent="0.35">
      <c r="A63" s="225" t="s">
        <v>167</v>
      </c>
      <c r="B63" s="225"/>
      <c r="C63" s="225">
        <f>IFERROR(C60-C59,"")</f>
        <v>0</v>
      </c>
      <c r="D63" s="225">
        <f t="shared" ref="D63:W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965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  <c r="V63" s="225">
        <f t="shared" si="13"/>
        <v>0</v>
      </c>
      <c r="W63" s="225">
        <f t="shared" si="13"/>
        <v>0</v>
      </c>
    </row>
    <row r="64" spans="1:23" ht="16.399999999999999" customHeight="1" x14ac:dyDescent="0.35">
      <c r="A64" s="65" t="s">
        <v>2</v>
      </c>
      <c r="B64" s="65"/>
      <c r="C64" s="65">
        <f>AVERAGE(C56,C63,C49,C42,C35,C28,C21,C14)</f>
        <v>4655</v>
      </c>
      <c r="D64" s="65">
        <f t="shared" ref="D64:W64" si="14">AVERAGE(D56,D63,D49,D42,D35,D28,D21,D14)</f>
        <v>0</v>
      </c>
      <c r="E64" s="65">
        <f t="shared" si="14"/>
        <v>0</v>
      </c>
      <c r="F64" s="65">
        <f t="shared" si="14"/>
        <v>0</v>
      </c>
      <c r="G64" s="65">
        <f t="shared" si="14"/>
        <v>0</v>
      </c>
      <c r="H64" s="65">
        <f t="shared" si="14"/>
        <v>0</v>
      </c>
      <c r="I64" s="65">
        <f t="shared" si="14"/>
        <v>3150</v>
      </c>
      <c r="J64" s="65">
        <f t="shared" si="14"/>
        <v>2396</v>
      </c>
      <c r="K64" s="65">
        <f t="shared" si="14"/>
        <v>0</v>
      </c>
      <c r="L64" s="65">
        <f t="shared" si="14"/>
        <v>1606</v>
      </c>
      <c r="M64" s="65">
        <f t="shared" si="14"/>
        <v>2898.75</v>
      </c>
      <c r="N64" s="65">
        <f t="shared" si="14"/>
        <v>4859.125</v>
      </c>
      <c r="O64" s="65">
        <f t="shared" si="14"/>
        <v>4144.75</v>
      </c>
      <c r="P64" s="65">
        <f t="shared" si="14"/>
        <v>4859.125</v>
      </c>
      <c r="Q64" s="65">
        <f t="shared" si="14"/>
        <v>0</v>
      </c>
      <c r="R64" s="65">
        <f t="shared" si="14"/>
        <v>0</v>
      </c>
      <c r="S64" s="65">
        <f t="shared" si="14"/>
        <v>3210.125</v>
      </c>
      <c r="T64" s="65">
        <f t="shared" si="14"/>
        <v>3210.125</v>
      </c>
      <c r="U64" s="65">
        <f t="shared" si="14"/>
        <v>1606</v>
      </c>
      <c r="V64" s="65">
        <f t="shared" si="14"/>
        <v>4859.125</v>
      </c>
      <c r="W64" s="65">
        <f t="shared" si="14"/>
        <v>2898.75</v>
      </c>
    </row>
    <row r="65" spans="1:23" x14ac:dyDescent="0.35">
      <c r="A65" s="150" t="s">
        <v>159</v>
      </c>
      <c r="B65" s="151"/>
      <c r="C65" s="163"/>
      <c r="D65" s="154"/>
      <c r="E65" s="154"/>
      <c r="F65" s="154"/>
      <c r="G65" s="154"/>
      <c r="H65" s="154"/>
      <c r="I65" s="154"/>
      <c r="J65" s="152"/>
      <c r="K65" s="154"/>
      <c r="L65" s="154"/>
      <c r="M65" s="154"/>
      <c r="N65" s="152"/>
      <c r="O65" s="152" t="s">
        <v>297</v>
      </c>
      <c r="P65" s="154"/>
      <c r="Q65" s="154"/>
      <c r="R65" s="154"/>
      <c r="S65" s="154"/>
      <c r="T65" s="154"/>
      <c r="U65" s="154"/>
      <c r="V65" s="154"/>
      <c r="W65" s="154"/>
    </row>
    <row r="66" spans="1:23" x14ac:dyDescent="0.35">
      <c r="A66" s="155" t="s">
        <v>161</v>
      </c>
      <c r="B66" s="156" t="s">
        <v>162</v>
      </c>
      <c r="C66" s="165"/>
      <c r="D66" s="157"/>
      <c r="E66" s="157"/>
      <c r="F66" s="157"/>
      <c r="G66" s="157"/>
      <c r="H66" s="157"/>
      <c r="I66" s="157"/>
      <c r="J66" s="157"/>
      <c r="K66" s="157"/>
      <c r="L66" s="157"/>
      <c r="M66" s="157"/>
      <c r="N66" s="157"/>
      <c r="O66" s="157">
        <v>32193</v>
      </c>
      <c r="P66" s="157"/>
      <c r="Q66" s="157"/>
      <c r="R66" s="157"/>
      <c r="S66" s="157"/>
      <c r="T66" s="157"/>
      <c r="U66" s="157"/>
      <c r="V66" s="157"/>
      <c r="W66" s="157"/>
    </row>
    <row r="67" spans="1:23" x14ac:dyDescent="0.35">
      <c r="A67" s="155" t="s">
        <v>161</v>
      </c>
      <c r="B67" s="156" t="s">
        <v>163</v>
      </c>
      <c r="C67" s="165"/>
      <c r="D67" s="157"/>
      <c r="E67" s="157"/>
      <c r="F67" s="157"/>
      <c r="G67" s="157"/>
      <c r="H67" s="157"/>
      <c r="I67" s="157"/>
      <c r="J67" s="157"/>
      <c r="K67" s="157"/>
      <c r="L67" s="157"/>
      <c r="M67" s="157"/>
      <c r="N67" s="157"/>
      <c r="O67" s="157">
        <v>34180</v>
      </c>
      <c r="P67" s="157"/>
      <c r="Q67" s="157"/>
      <c r="R67" s="157"/>
      <c r="S67" s="157"/>
      <c r="T67" s="157"/>
      <c r="U67" s="157"/>
      <c r="V67" s="157"/>
      <c r="W67" s="157"/>
    </row>
    <row r="68" spans="1:23" x14ac:dyDescent="0.35">
      <c r="A68" s="155" t="s">
        <v>164</v>
      </c>
      <c r="B68" s="156"/>
      <c r="C68" s="165"/>
      <c r="D68" s="157"/>
      <c r="E68" s="157"/>
      <c r="F68" s="157"/>
      <c r="G68" s="157"/>
      <c r="H68" s="157"/>
      <c r="I68" s="157"/>
      <c r="J68" s="166"/>
      <c r="K68" s="157"/>
      <c r="L68" s="157"/>
      <c r="M68" s="157"/>
      <c r="N68" s="157"/>
      <c r="O68" s="157" t="s">
        <v>249</v>
      </c>
      <c r="P68" s="157"/>
      <c r="Q68" s="157"/>
      <c r="R68" s="157"/>
      <c r="S68" s="157"/>
      <c r="T68" s="157"/>
      <c r="U68" s="157"/>
      <c r="V68" s="157"/>
      <c r="W68" s="157"/>
    </row>
    <row r="69" spans="1:23" x14ac:dyDescent="0.35">
      <c r="A69" s="160" t="s">
        <v>165</v>
      </c>
      <c r="B69" s="167"/>
      <c r="C69" s="165"/>
      <c r="D69" s="157"/>
      <c r="E69" s="157"/>
      <c r="F69" s="157"/>
      <c r="G69" s="157"/>
      <c r="H69" s="157"/>
      <c r="I69" s="157"/>
      <c r="J69" s="157"/>
      <c r="K69" s="157"/>
      <c r="L69" s="157"/>
      <c r="M69" s="157"/>
      <c r="N69" s="157"/>
      <c r="O69" s="157"/>
      <c r="P69" s="157"/>
      <c r="Q69" s="157"/>
      <c r="R69" s="157"/>
      <c r="S69" s="157"/>
      <c r="T69" s="157"/>
      <c r="U69" s="157"/>
      <c r="V69" s="157"/>
      <c r="W69" s="157"/>
    </row>
    <row r="70" spans="1:23" x14ac:dyDescent="0.35">
      <c r="A70" s="225" t="s">
        <v>167</v>
      </c>
      <c r="B70" s="225"/>
      <c r="C70" s="225">
        <f>IFERROR(C67-C66,"")</f>
        <v>0</v>
      </c>
      <c r="D70" s="225">
        <f t="shared" ref="D70:W70" si="15">IFERROR(D67-D66,"")</f>
        <v>0</v>
      </c>
      <c r="E70" s="225">
        <f t="shared" si="15"/>
        <v>0</v>
      </c>
      <c r="F70" s="225">
        <f t="shared" si="15"/>
        <v>0</v>
      </c>
      <c r="G70" s="225">
        <f t="shared" si="15"/>
        <v>0</v>
      </c>
      <c r="H70" s="225">
        <f t="shared" si="15"/>
        <v>0</v>
      </c>
      <c r="I70" s="225">
        <f t="shared" si="15"/>
        <v>0</v>
      </c>
      <c r="J70" s="225">
        <f t="shared" si="15"/>
        <v>0</v>
      </c>
      <c r="K70" s="225">
        <f t="shared" si="15"/>
        <v>0</v>
      </c>
      <c r="L70" s="225">
        <f t="shared" si="15"/>
        <v>0</v>
      </c>
      <c r="M70" s="225">
        <f t="shared" si="15"/>
        <v>0</v>
      </c>
      <c r="N70" s="225">
        <f t="shared" si="15"/>
        <v>0</v>
      </c>
      <c r="O70" s="225">
        <f t="shared" si="15"/>
        <v>1987</v>
      </c>
      <c r="P70" s="225">
        <f t="shared" si="15"/>
        <v>0</v>
      </c>
      <c r="Q70" s="225">
        <f t="shared" si="15"/>
        <v>0</v>
      </c>
      <c r="R70" s="225">
        <f t="shared" si="15"/>
        <v>0</v>
      </c>
      <c r="S70" s="225">
        <f t="shared" si="15"/>
        <v>0</v>
      </c>
      <c r="T70" s="225">
        <f t="shared" si="15"/>
        <v>0</v>
      </c>
      <c r="U70" s="225">
        <f t="shared" si="15"/>
        <v>0</v>
      </c>
      <c r="V70" s="225">
        <f t="shared" si="15"/>
        <v>0</v>
      </c>
      <c r="W70" s="225">
        <f t="shared" si="15"/>
        <v>0</v>
      </c>
    </row>
    <row r="71" spans="1:23" x14ac:dyDescent="0.35">
      <c r="A71" s="65" t="s">
        <v>2</v>
      </c>
      <c r="B71" s="65"/>
      <c r="C71" s="65">
        <f>AVERAGE(C63,C70,C56,C49,C42,C35,C28,C21,C14)</f>
        <v>4137.7777777777774</v>
      </c>
      <c r="D71" s="65">
        <f t="shared" ref="D71:U71" si="16">AVERAGE(D63,D70,D56,D49,D42,D35,D28,D21,D14)</f>
        <v>0</v>
      </c>
      <c r="E71" s="65">
        <f t="shared" si="16"/>
        <v>0</v>
      </c>
      <c r="F71" s="65">
        <f t="shared" si="16"/>
        <v>0</v>
      </c>
      <c r="G71" s="65">
        <f t="shared" si="16"/>
        <v>0</v>
      </c>
      <c r="H71" s="65">
        <f t="shared" si="16"/>
        <v>0</v>
      </c>
      <c r="I71" s="65">
        <f t="shared" si="16"/>
        <v>2800</v>
      </c>
      <c r="J71" s="65">
        <f t="shared" si="16"/>
        <v>2129.7777777777778</v>
      </c>
      <c r="K71" s="65">
        <f t="shared" si="16"/>
        <v>0</v>
      </c>
      <c r="L71" s="65">
        <f t="shared" si="16"/>
        <v>1427.5555555555557</v>
      </c>
      <c r="M71" s="65">
        <f t="shared" si="16"/>
        <v>2576.6666666666665</v>
      </c>
      <c r="N71" s="65">
        <f t="shared" si="16"/>
        <v>4319.2222222222226</v>
      </c>
      <c r="O71" s="65">
        <f t="shared" si="16"/>
        <v>3905</v>
      </c>
      <c r="P71" s="65">
        <f t="shared" si="16"/>
        <v>4319.2222222222226</v>
      </c>
      <c r="Q71" s="65">
        <f t="shared" si="16"/>
        <v>0</v>
      </c>
      <c r="R71" s="65">
        <f t="shared" si="16"/>
        <v>0</v>
      </c>
      <c r="S71" s="65">
        <f t="shared" si="16"/>
        <v>2853.4444444444443</v>
      </c>
      <c r="T71" s="65">
        <f t="shared" si="16"/>
        <v>2853.4444444444443</v>
      </c>
      <c r="U71" s="65">
        <f t="shared" si="16"/>
        <v>1427.5555555555557</v>
      </c>
      <c r="V71" s="65">
        <f t="shared" ref="V71:W71" si="17">AVERAGE(V63,V70,V56,V49,V42,V35,V28,V21)</f>
        <v>3665.625</v>
      </c>
      <c r="W71" s="65">
        <f t="shared" si="17"/>
        <v>502.75</v>
      </c>
    </row>
    <row r="72" spans="1:23" x14ac:dyDescent="0.35">
      <c r="A72" s="150" t="s">
        <v>159</v>
      </c>
      <c r="B72" s="151"/>
      <c r="C72" s="163"/>
      <c r="D72" s="154"/>
      <c r="E72" s="154"/>
      <c r="F72" s="154"/>
      <c r="G72" s="154"/>
      <c r="H72" s="154"/>
      <c r="I72" s="154"/>
      <c r="J72" s="152"/>
      <c r="K72" s="154"/>
      <c r="L72" s="154"/>
      <c r="M72" s="154"/>
      <c r="N72" s="152"/>
      <c r="O72" s="152" t="s">
        <v>249</v>
      </c>
      <c r="P72" s="154"/>
      <c r="Q72" s="154"/>
      <c r="R72" s="154"/>
      <c r="S72" s="154"/>
      <c r="T72" s="154"/>
      <c r="U72" s="154"/>
      <c r="V72" s="154"/>
      <c r="W72" s="154"/>
    </row>
    <row r="73" spans="1:23" x14ac:dyDescent="0.35">
      <c r="A73" s="155" t="s">
        <v>161</v>
      </c>
      <c r="B73" s="156" t="s">
        <v>162</v>
      </c>
      <c r="C73" s="165"/>
      <c r="D73" s="157"/>
      <c r="E73" s="157"/>
      <c r="F73" s="157"/>
      <c r="G73" s="157"/>
      <c r="H73" s="157"/>
      <c r="I73" s="157"/>
      <c r="J73" s="157"/>
      <c r="K73" s="157"/>
      <c r="L73" s="157"/>
      <c r="M73" s="157"/>
      <c r="N73" s="157"/>
      <c r="O73" s="157">
        <v>33158</v>
      </c>
      <c r="P73" s="157"/>
      <c r="Q73" s="157"/>
      <c r="R73" s="157"/>
      <c r="S73" s="157"/>
      <c r="T73" s="157"/>
      <c r="U73" s="157"/>
      <c r="V73" s="157"/>
      <c r="W73" s="157"/>
    </row>
    <row r="74" spans="1:23" x14ac:dyDescent="0.35">
      <c r="A74" s="155" t="s">
        <v>161</v>
      </c>
      <c r="B74" s="156" t="s">
        <v>163</v>
      </c>
      <c r="C74" s="165"/>
      <c r="D74" s="157"/>
      <c r="E74" s="157"/>
      <c r="F74" s="157"/>
      <c r="G74" s="157"/>
      <c r="H74" s="157"/>
      <c r="I74" s="157"/>
      <c r="J74" s="157"/>
      <c r="K74" s="157"/>
      <c r="L74" s="157"/>
      <c r="M74" s="157"/>
      <c r="N74" s="157"/>
      <c r="O74" s="157">
        <v>37240</v>
      </c>
      <c r="P74" s="157"/>
      <c r="Q74" s="157"/>
      <c r="R74" s="157"/>
      <c r="S74" s="157"/>
      <c r="T74" s="157"/>
      <c r="U74" s="157"/>
      <c r="V74" s="157"/>
      <c r="W74" s="157"/>
    </row>
    <row r="75" spans="1:23" x14ac:dyDescent="0.35">
      <c r="A75" s="155" t="s">
        <v>164</v>
      </c>
      <c r="B75" s="156"/>
      <c r="C75" s="165"/>
      <c r="D75" s="157"/>
      <c r="E75" s="157"/>
      <c r="F75" s="157"/>
      <c r="G75" s="157"/>
      <c r="H75" s="157"/>
      <c r="I75" s="157"/>
      <c r="J75" s="166"/>
      <c r="K75" s="157"/>
      <c r="L75" s="157"/>
      <c r="M75" s="157"/>
      <c r="N75" s="157"/>
      <c r="O75" s="157" t="s">
        <v>271</v>
      </c>
      <c r="P75" s="157"/>
      <c r="Q75" s="157"/>
      <c r="R75" s="157"/>
      <c r="S75" s="157"/>
      <c r="T75" s="157"/>
      <c r="U75" s="157"/>
      <c r="V75" s="157"/>
      <c r="W75" s="157"/>
    </row>
    <row r="76" spans="1:23" x14ac:dyDescent="0.35">
      <c r="A76" s="160" t="s">
        <v>165</v>
      </c>
      <c r="B76" s="167"/>
      <c r="C76" s="165"/>
      <c r="D76" s="157"/>
      <c r="E76" s="157"/>
      <c r="F76" s="157"/>
      <c r="G76" s="157"/>
      <c r="H76" s="157"/>
      <c r="I76" s="157"/>
      <c r="J76" s="157"/>
      <c r="K76" s="157"/>
      <c r="L76" s="157"/>
      <c r="M76" s="157"/>
      <c r="N76" s="157"/>
      <c r="O76" s="157"/>
      <c r="P76" s="157"/>
      <c r="Q76" s="157"/>
      <c r="R76" s="157"/>
      <c r="S76" s="157"/>
      <c r="T76" s="157"/>
      <c r="U76" s="157"/>
      <c r="V76" s="157"/>
      <c r="W76" s="157"/>
    </row>
    <row r="77" spans="1:23" x14ac:dyDescent="0.35">
      <c r="A77" s="225" t="s">
        <v>167</v>
      </c>
      <c r="B77" s="225"/>
      <c r="C77" s="225">
        <f>IFERROR(C74-C73,"")</f>
        <v>0</v>
      </c>
      <c r="D77" s="225">
        <f t="shared" ref="D77:W77" si="18">IFERROR(D74-D73,"")</f>
        <v>0</v>
      </c>
      <c r="E77" s="225">
        <f t="shared" si="18"/>
        <v>0</v>
      </c>
      <c r="F77" s="225">
        <f t="shared" si="18"/>
        <v>0</v>
      </c>
      <c r="G77" s="225">
        <f t="shared" si="18"/>
        <v>0</v>
      </c>
      <c r="H77" s="225">
        <f t="shared" si="18"/>
        <v>0</v>
      </c>
      <c r="I77" s="225">
        <f t="shared" si="18"/>
        <v>0</v>
      </c>
      <c r="J77" s="225">
        <f t="shared" si="18"/>
        <v>0</v>
      </c>
      <c r="K77" s="225">
        <f t="shared" si="18"/>
        <v>0</v>
      </c>
      <c r="L77" s="225">
        <f t="shared" si="18"/>
        <v>0</v>
      </c>
      <c r="M77" s="225">
        <f t="shared" si="18"/>
        <v>0</v>
      </c>
      <c r="N77" s="225">
        <f t="shared" si="18"/>
        <v>0</v>
      </c>
      <c r="O77" s="225">
        <f t="shared" si="18"/>
        <v>4082</v>
      </c>
      <c r="P77" s="225">
        <f t="shared" si="18"/>
        <v>0</v>
      </c>
      <c r="Q77" s="225">
        <f t="shared" si="18"/>
        <v>0</v>
      </c>
      <c r="R77" s="225">
        <f t="shared" si="18"/>
        <v>0</v>
      </c>
      <c r="S77" s="225">
        <f t="shared" si="18"/>
        <v>0</v>
      </c>
      <c r="T77" s="225">
        <f t="shared" si="18"/>
        <v>0</v>
      </c>
      <c r="U77" s="225">
        <f t="shared" si="18"/>
        <v>0</v>
      </c>
      <c r="V77" s="225">
        <f t="shared" si="18"/>
        <v>0</v>
      </c>
      <c r="W77" s="225">
        <f t="shared" si="18"/>
        <v>0</v>
      </c>
    </row>
    <row r="78" spans="1:23" x14ac:dyDescent="0.35">
      <c r="A78" s="65" t="s">
        <v>2</v>
      </c>
      <c r="B78" s="65"/>
      <c r="C78" s="65">
        <f>AVERAGE(C70,C77,C63,C56,C49,C42,C35,C28,C21,C14)</f>
        <v>3724</v>
      </c>
      <c r="D78" s="65">
        <f t="shared" ref="D78:U78" si="19">AVERAGE(D70,D77,D63,D56,D49,D42,D35,D28,D21,D14)</f>
        <v>0</v>
      </c>
      <c r="E78" s="65">
        <f t="shared" si="19"/>
        <v>0</v>
      </c>
      <c r="F78" s="65">
        <f t="shared" si="19"/>
        <v>0</v>
      </c>
      <c r="G78" s="65">
        <f t="shared" si="19"/>
        <v>0</v>
      </c>
      <c r="H78" s="65">
        <f t="shared" si="19"/>
        <v>0</v>
      </c>
      <c r="I78" s="65">
        <f t="shared" si="19"/>
        <v>2520</v>
      </c>
      <c r="J78" s="65">
        <f t="shared" si="19"/>
        <v>1916.8</v>
      </c>
      <c r="K78" s="65">
        <f t="shared" si="19"/>
        <v>0</v>
      </c>
      <c r="L78" s="65">
        <f t="shared" si="19"/>
        <v>1284.8</v>
      </c>
      <c r="M78" s="65">
        <f t="shared" si="19"/>
        <v>2319</v>
      </c>
      <c r="N78" s="65">
        <f t="shared" si="19"/>
        <v>3887.3</v>
      </c>
      <c r="O78" s="65">
        <f t="shared" si="19"/>
        <v>3922.7</v>
      </c>
      <c r="P78" s="65">
        <f t="shared" si="19"/>
        <v>3887.3</v>
      </c>
      <c r="Q78" s="65">
        <f t="shared" si="19"/>
        <v>0</v>
      </c>
      <c r="R78" s="65">
        <f t="shared" si="19"/>
        <v>0</v>
      </c>
      <c r="S78" s="65">
        <f t="shared" si="19"/>
        <v>2568.1</v>
      </c>
      <c r="T78" s="65">
        <f t="shared" si="19"/>
        <v>2568.1</v>
      </c>
      <c r="U78" s="65">
        <f t="shared" si="19"/>
        <v>1284.8</v>
      </c>
      <c r="V78" s="65">
        <f t="shared" ref="V78:W78" si="20">AVERAGE(V70,V77,V63,V56,V49,V42,V35,V28)</f>
        <v>1649</v>
      </c>
      <c r="W78" s="65">
        <f t="shared" si="20"/>
        <v>0</v>
      </c>
    </row>
    <row r="79" spans="1:23" x14ac:dyDescent="0.35">
      <c r="A79" s="150" t="s">
        <v>159</v>
      </c>
      <c r="B79" s="151"/>
      <c r="C79" s="163"/>
      <c r="D79" s="154"/>
      <c r="E79" s="154"/>
      <c r="F79" s="154"/>
      <c r="G79" s="154"/>
      <c r="H79" s="154"/>
      <c r="I79" s="154"/>
      <c r="J79" s="152"/>
      <c r="K79" s="154"/>
      <c r="L79" s="154"/>
      <c r="M79" s="154"/>
      <c r="N79" s="152"/>
      <c r="O79" s="152" t="s">
        <v>271</v>
      </c>
      <c r="P79" s="154"/>
      <c r="Q79" s="154"/>
      <c r="R79" s="154"/>
      <c r="S79" s="154"/>
      <c r="T79" s="154"/>
      <c r="U79" s="154"/>
      <c r="V79" s="154"/>
      <c r="W79" s="154"/>
    </row>
    <row r="80" spans="1:23" x14ac:dyDescent="0.35">
      <c r="A80" s="155" t="s">
        <v>161</v>
      </c>
      <c r="B80" s="156" t="s">
        <v>162</v>
      </c>
      <c r="C80" s="165"/>
      <c r="D80" s="157"/>
      <c r="E80" s="157"/>
      <c r="F80" s="157"/>
      <c r="G80" s="157"/>
      <c r="H80" s="157"/>
      <c r="I80" s="157"/>
      <c r="J80" s="157"/>
      <c r="K80" s="157"/>
      <c r="L80" s="157"/>
      <c r="M80" s="157"/>
      <c r="N80" s="157"/>
      <c r="O80" s="157">
        <v>34180</v>
      </c>
      <c r="P80" s="157"/>
      <c r="Q80" s="157"/>
      <c r="R80" s="157"/>
      <c r="S80" s="157"/>
      <c r="T80" s="157"/>
      <c r="U80" s="157"/>
      <c r="V80" s="157"/>
      <c r="W80" s="157"/>
    </row>
    <row r="81" spans="1:23" x14ac:dyDescent="0.35">
      <c r="A81" s="155" t="s">
        <v>161</v>
      </c>
      <c r="B81" s="156" t="s">
        <v>163</v>
      </c>
      <c r="C81" s="165"/>
      <c r="D81" s="157"/>
      <c r="E81" s="157"/>
      <c r="F81" s="157"/>
      <c r="G81" s="157"/>
      <c r="H81" s="157"/>
      <c r="I81" s="157"/>
      <c r="J81" s="157"/>
      <c r="K81" s="157"/>
      <c r="L81" s="157"/>
      <c r="M81" s="157"/>
      <c r="N81" s="157"/>
      <c r="O81" s="157">
        <v>38873</v>
      </c>
      <c r="P81" s="157"/>
      <c r="Q81" s="157"/>
      <c r="R81" s="157"/>
      <c r="S81" s="157"/>
      <c r="T81" s="157"/>
      <c r="U81" s="157"/>
      <c r="V81" s="157"/>
      <c r="W81" s="157"/>
    </row>
    <row r="82" spans="1:23" x14ac:dyDescent="0.35">
      <c r="A82" s="155" t="s">
        <v>164</v>
      </c>
      <c r="B82" s="156"/>
      <c r="C82" s="165"/>
      <c r="D82" s="157"/>
      <c r="E82" s="157"/>
      <c r="F82" s="157"/>
      <c r="G82" s="157"/>
      <c r="H82" s="157"/>
      <c r="I82" s="157"/>
      <c r="J82" s="166"/>
      <c r="K82" s="157"/>
      <c r="L82" s="157"/>
      <c r="M82" s="157"/>
      <c r="N82" s="157"/>
      <c r="O82" s="157" t="s">
        <v>244</v>
      </c>
      <c r="P82" s="157"/>
      <c r="Q82" s="157"/>
      <c r="R82" s="157"/>
      <c r="S82" s="157"/>
      <c r="T82" s="157"/>
      <c r="U82" s="157"/>
      <c r="V82" s="157"/>
      <c r="W82" s="157"/>
    </row>
    <row r="83" spans="1:23" x14ac:dyDescent="0.35">
      <c r="A83" s="160" t="s">
        <v>165</v>
      </c>
      <c r="B83" s="167"/>
      <c r="C83" s="165"/>
      <c r="D83" s="157"/>
      <c r="E83" s="157"/>
      <c r="F83" s="157"/>
      <c r="G83" s="157"/>
      <c r="H83" s="157"/>
      <c r="I83" s="157"/>
      <c r="J83" s="157"/>
      <c r="K83" s="157"/>
      <c r="L83" s="157"/>
      <c r="M83" s="157"/>
      <c r="N83" s="157"/>
      <c r="O83" s="157"/>
      <c r="P83" s="157"/>
      <c r="Q83" s="157"/>
      <c r="R83" s="157"/>
      <c r="S83" s="157"/>
      <c r="T83" s="157"/>
      <c r="U83" s="157"/>
      <c r="V83" s="157"/>
      <c r="W83" s="157"/>
    </row>
    <row r="84" spans="1:23" x14ac:dyDescent="0.35">
      <c r="A84" s="225" t="s">
        <v>167</v>
      </c>
      <c r="B84" s="225"/>
      <c r="C84" s="225">
        <f>IFERROR(C81-C80,"")</f>
        <v>0</v>
      </c>
      <c r="D84" s="225">
        <f t="shared" ref="D84:W84" si="21">IFERROR(D81-D80,"")</f>
        <v>0</v>
      </c>
      <c r="E84" s="225">
        <f t="shared" si="21"/>
        <v>0</v>
      </c>
      <c r="F84" s="225">
        <f t="shared" si="21"/>
        <v>0</v>
      </c>
      <c r="G84" s="225">
        <f t="shared" si="21"/>
        <v>0</v>
      </c>
      <c r="H84" s="225">
        <f t="shared" si="21"/>
        <v>0</v>
      </c>
      <c r="I84" s="225">
        <f t="shared" si="21"/>
        <v>0</v>
      </c>
      <c r="J84" s="225">
        <f t="shared" si="21"/>
        <v>0</v>
      </c>
      <c r="K84" s="225">
        <f t="shared" si="21"/>
        <v>0</v>
      </c>
      <c r="L84" s="225">
        <f t="shared" si="21"/>
        <v>0</v>
      </c>
      <c r="M84" s="225">
        <f t="shared" si="21"/>
        <v>0</v>
      </c>
      <c r="N84" s="225">
        <f t="shared" si="21"/>
        <v>0</v>
      </c>
      <c r="O84" s="225">
        <f t="shared" si="21"/>
        <v>4693</v>
      </c>
      <c r="P84" s="225">
        <f t="shared" si="21"/>
        <v>0</v>
      </c>
      <c r="Q84" s="225">
        <f t="shared" si="21"/>
        <v>0</v>
      </c>
      <c r="R84" s="225">
        <f t="shared" si="21"/>
        <v>0</v>
      </c>
      <c r="S84" s="225">
        <f t="shared" si="21"/>
        <v>0</v>
      </c>
      <c r="T84" s="225">
        <f t="shared" si="21"/>
        <v>0</v>
      </c>
      <c r="U84" s="225">
        <f t="shared" si="21"/>
        <v>0</v>
      </c>
      <c r="V84" s="225">
        <f t="shared" si="21"/>
        <v>0</v>
      </c>
      <c r="W84" s="225">
        <f t="shared" si="21"/>
        <v>0</v>
      </c>
    </row>
    <row r="85" spans="1:23" x14ac:dyDescent="0.35">
      <c r="A85" s="65" t="s">
        <v>2</v>
      </c>
      <c r="B85" s="65"/>
      <c r="C85" s="65">
        <f>AVERAGE(C77,C84,C70,C63,C56,C49,C42,C35,C28,C21,C14)</f>
        <v>3385.4545454545455</v>
      </c>
      <c r="D85" s="65">
        <f t="shared" ref="D85:U85" si="22">AVERAGE(D77,D84,D70,D63,D56,D49,D42,D35,D28,D21,D14)</f>
        <v>0</v>
      </c>
      <c r="E85" s="65">
        <f t="shared" si="22"/>
        <v>0</v>
      </c>
      <c r="F85" s="65">
        <f t="shared" si="22"/>
        <v>0</v>
      </c>
      <c r="G85" s="65">
        <f t="shared" si="22"/>
        <v>0</v>
      </c>
      <c r="H85" s="65">
        <f t="shared" si="22"/>
        <v>0</v>
      </c>
      <c r="I85" s="65">
        <f t="shared" si="22"/>
        <v>2290.909090909091</v>
      </c>
      <c r="J85" s="65">
        <f t="shared" si="22"/>
        <v>1742.5454545454545</v>
      </c>
      <c r="K85" s="65">
        <f t="shared" si="22"/>
        <v>0</v>
      </c>
      <c r="L85" s="65">
        <f t="shared" si="22"/>
        <v>1168</v>
      </c>
      <c r="M85" s="65">
        <f t="shared" si="22"/>
        <v>2108.181818181818</v>
      </c>
      <c r="N85" s="65">
        <f t="shared" si="22"/>
        <v>3533.909090909091</v>
      </c>
      <c r="O85" s="65">
        <f t="shared" si="22"/>
        <v>3992.7272727272725</v>
      </c>
      <c r="P85" s="65">
        <f t="shared" si="22"/>
        <v>3533.909090909091</v>
      </c>
      <c r="Q85" s="65">
        <f t="shared" si="22"/>
        <v>0</v>
      </c>
      <c r="R85" s="65">
        <f t="shared" si="22"/>
        <v>0</v>
      </c>
      <c r="S85" s="65">
        <f t="shared" si="22"/>
        <v>2334.6363636363635</v>
      </c>
      <c r="T85" s="65">
        <f t="shared" si="22"/>
        <v>2334.6363636363635</v>
      </c>
      <c r="U85" s="65">
        <f t="shared" si="22"/>
        <v>1168</v>
      </c>
      <c r="V85" s="65">
        <f t="shared" ref="V85:W85" si="23">AVERAGE(V77,V84,V70,V63,V56,V49,V42,V35)</f>
        <v>953</v>
      </c>
      <c r="W85" s="65">
        <f t="shared" si="23"/>
        <v>0</v>
      </c>
    </row>
  </sheetData>
  <sheetProtection algorithmName="SHA-512" hashValue="47b9xC9pvVGbvUAXiE21R0ANK9b6lNaof3tk0mWhtljUAGq1kpYkugfexrdEg11KGf9FvAsa2txwT9IU0RBaBA==" saltValue="oPksAxwlh55zurDgwCFNBQ==" spinCount="100000" sheet="1" objects="1" scenarios="1"/>
  <autoFilter ref="A2:W64" xr:uid="{00000000-0009-0000-0000-000011000000}"/>
  <mergeCells count="2">
    <mergeCell ref="A7:B7"/>
    <mergeCell ref="A8:B8"/>
  </mergeCell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/>
  <dimension ref="A1:L134"/>
  <sheetViews>
    <sheetView zoomScale="70" zoomScaleNormal="70" workbookViewId="0">
      <selection activeCell="C6" sqref="C6"/>
    </sheetView>
  </sheetViews>
  <sheetFormatPr defaultColWidth="8.81640625" defaultRowHeight="14.5" x14ac:dyDescent="0.35"/>
  <cols>
    <col min="1" max="1" width="17" style="1" customWidth="1"/>
    <col min="2" max="2" width="5.81640625" style="1" customWidth="1"/>
    <col min="3" max="3" width="20.81640625" style="1" bestFit="1" customWidth="1"/>
    <col min="4" max="4" width="18.81640625" style="1" customWidth="1"/>
    <col min="5" max="5" width="16.81640625" style="1" customWidth="1"/>
    <col min="6" max="6" width="15.81640625" style="1" customWidth="1"/>
    <col min="7" max="7" width="18.54296875" style="1" customWidth="1"/>
    <col min="8" max="8" width="17.81640625" style="1" customWidth="1"/>
    <col min="9" max="9" width="16.81640625" style="190" customWidth="1"/>
    <col min="10" max="13" width="17.1796875" style="1" bestFit="1" customWidth="1"/>
    <col min="14" max="14" width="17.1796875" style="1" customWidth="1"/>
    <col min="15" max="15" width="17.1796875" style="1" bestFit="1" customWidth="1"/>
    <col min="16" max="16384" width="8.81640625" style="1"/>
  </cols>
  <sheetData>
    <row r="1" spans="1:12" ht="24" thickBot="1" x14ac:dyDescent="0.4">
      <c r="A1" s="99"/>
      <c r="C1" s="99"/>
    </row>
    <row r="2" spans="1:12" x14ac:dyDescent="0.35">
      <c r="E2" s="3"/>
      <c r="F2" s="3" t="s">
        <v>104</v>
      </c>
      <c r="G2" s="3"/>
      <c r="H2" s="4"/>
    </row>
    <row r="3" spans="1:12" x14ac:dyDescent="0.35">
      <c r="E3" s="6" t="s">
        <v>106</v>
      </c>
      <c r="F3" s="7" t="s">
        <v>275</v>
      </c>
      <c r="G3" s="6"/>
      <c r="H3" s="8"/>
    </row>
    <row r="4" spans="1:12" ht="15" thickBot="1" x14ac:dyDescent="0.4">
      <c r="A4" s="1" t="s">
        <v>168</v>
      </c>
      <c r="B4" s="1" t="s">
        <v>169</v>
      </c>
      <c r="E4" s="10" t="s">
        <v>276</v>
      </c>
      <c r="F4" s="11"/>
      <c r="G4" s="10" t="s">
        <v>112</v>
      </c>
      <c r="H4" s="12"/>
    </row>
    <row r="5" spans="1:12" ht="24" customHeight="1" x14ac:dyDescent="0.35">
      <c r="A5" s="89" t="s">
        <v>74</v>
      </c>
      <c r="B5" s="1" t="s">
        <v>407</v>
      </c>
    </row>
    <row r="6" spans="1:12" ht="28.4" customHeight="1" x14ac:dyDescent="0.35">
      <c r="A6" s="14" t="s">
        <v>200</v>
      </c>
      <c r="B6" s="93"/>
      <c r="C6" s="52" t="s">
        <v>57</v>
      </c>
      <c r="D6" s="100" t="s">
        <v>59</v>
      </c>
      <c r="E6" s="14" t="s">
        <v>75</v>
      </c>
      <c r="F6" s="52" t="s">
        <v>60</v>
      </c>
      <c r="G6" s="52" t="s">
        <v>61</v>
      </c>
      <c r="H6" s="14" t="s">
        <v>62</v>
      </c>
      <c r="I6" s="202" t="s">
        <v>63</v>
      </c>
      <c r="J6" s="98" t="s">
        <v>64</v>
      </c>
      <c r="K6" s="52" t="s">
        <v>76</v>
      </c>
      <c r="L6" s="14" t="s">
        <v>35</v>
      </c>
    </row>
    <row r="7" spans="1:12" x14ac:dyDescent="0.35">
      <c r="A7" s="256" t="s">
        <v>137</v>
      </c>
      <c r="B7" s="256"/>
      <c r="C7" s="17" t="s">
        <v>140</v>
      </c>
      <c r="D7" s="17" t="s">
        <v>144</v>
      </c>
      <c r="E7" s="17" t="s">
        <v>146</v>
      </c>
      <c r="F7" s="17" t="s">
        <v>148</v>
      </c>
      <c r="G7" s="17" t="s">
        <v>149</v>
      </c>
      <c r="H7" s="17" t="s">
        <v>150</v>
      </c>
      <c r="I7" s="17" t="s">
        <v>151</v>
      </c>
      <c r="J7" s="17" t="s">
        <v>154</v>
      </c>
      <c r="K7" s="17" t="s">
        <v>398</v>
      </c>
      <c r="L7" s="17" t="s">
        <v>279</v>
      </c>
    </row>
    <row r="8" spans="1:12" x14ac:dyDescent="0.35">
      <c r="A8" s="257" t="s">
        <v>158</v>
      </c>
      <c r="B8" s="257"/>
      <c r="C8" s="19">
        <v>1</v>
      </c>
      <c r="D8" s="19">
        <v>1</v>
      </c>
      <c r="E8" s="19">
        <v>1</v>
      </c>
      <c r="F8" s="19">
        <v>1</v>
      </c>
      <c r="G8" s="19">
        <v>1</v>
      </c>
      <c r="H8" s="19">
        <v>1</v>
      </c>
      <c r="I8" s="20">
        <v>1</v>
      </c>
      <c r="J8" s="19">
        <v>1</v>
      </c>
      <c r="K8" s="19">
        <v>1</v>
      </c>
      <c r="L8" s="19">
        <v>1</v>
      </c>
    </row>
    <row r="9" spans="1:12" x14ac:dyDescent="0.35">
      <c r="A9" s="21" t="s">
        <v>159</v>
      </c>
      <c r="B9" s="22"/>
      <c r="C9" s="77" t="s">
        <v>225</v>
      </c>
      <c r="D9" s="77" t="s">
        <v>225</v>
      </c>
      <c r="E9" s="25"/>
      <c r="F9" s="77" t="s">
        <v>225</v>
      </c>
      <c r="G9" s="77" t="s">
        <v>225</v>
      </c>
      <c r="H9" s="77" t="s">
        <v>225</v>
      </c>
      <c r="I9" s="77" t="s">
        <v>225</v>
      </c>
      <c r="J9" s="77" t="s">
        <v>225</v>
      </c>
      <c r="K9" s="77" t="s">
        <v>225</v>
      </c>
      <c r="L9" s="77" t="s">
        <v>225</v>
      </c>
    </row>
    <row r="10" spans="1:12" x14ac:dyDescent="0.35">
      <c r="A10" s="26" t="s">
        <v>161</v>
      </c>
      <c r="B10" s="27" t="s">
        <v>162</v>
      </c>
      <c r="C10" s="59">
        <v>0</v>
      </c>
      <c r="D10" s="59">
        <v>0</v>
      </c>
      <c r="E10" s="28"/>
      <c r="F10" s="59">
        <v>0</v>
      </c>
      <c r="G10" s="59">
        <v>0</v>
      </c>
      <c r="H10" s="59">
        <v>0</v>
      </c>
      <c r="I10" s="59">
        <v>0</v>
      </c>
      <c r="J10" s="59">
        <v>0</v>
      </c>
      <c r="K10" s="59">
        <v>0</v>
      </c>
      <c r="L10" s="59">
        <v>0</v>
      </c>
    </row>
    <row r="11" spans="1:12" x14ac:dyDescent="0.35">
      <c r="A11" s="26" t="s">
        <v>161</v>
      </c>
      <c r="B11" s="27" t="s">
        <v>163</v>
      </c>
      <c r="C11" s="59">
        <v>8025</v>
      </c>
      <c r="D11" s="59">
        <v>8025</v>
      </c>
      <c r="E11" s="28"/>
      <c r="F11" s="59">
        <v>8025</v>
      </c>
      <c r="G11" s="59">
        <v>4088</v>
      </c>
      <c r="H11" s="59">
        <v>8025</v>
      </c>
      <c r="I11" s="59">
        <v>8025</v>
      </c>
      <c r="J11" s="59">
        <v>4088</v>
      </c>
      <c r="K11" s="59">
        <v>4088</v>
      </c>
      <c r="L11" s="59">
        <v>23434</v>
      </c>
    </row>
    <row r="12" spans="1:12" x14ac:dyDescent="0.35">
      <c r="A12" s="26" t="s">
        <v>164</v>
      </c>
      <c r="B12" s="27"/>
      <c r="C12" s="60">
        <v>43015</v>
      </c>
      <c r="D12" s="60">
        <v>43015</v>
      </c>
      <c r="E12" s="60"/>
      <c r="F12" s="60">
        <v>43015</v>
      </c>
      <c r="G12" s="60">
        <v>42840</v>
      </c>
      <c r="H12" s="60">
        <v>43015</v>
      </c>
      <c r="I12" s="60">
        <v>43015</v>
      </c>
      <c r="J12" s="60">
        <v>42840</v>
      </c>
      <c r="K12" s="60">
        <v>42840</v>
      </c>
      <c r="L12" s="60">
        <v>43792</v>
      </c>
    </row>
    <row r="13" spans="1:12" ht="29" x14ac:dyDescent="0.35">
      <c r="A13" s="32" t="s">
        <v>165</v>
      </c>
      <c r="B13" s="33"/>
      <c r="C13" s="34" t="s">
        <v>166</v>
      </c>
      <c r="D13" s="34" t="s">
        <v>166</v>
      </c>
      <c r="E13" s="28"/>
      <c r="F13" s="34" t="s">
        <v>166</v>
      </c>
      <c r="G13" s="34" t="s">
        <v>166</v>
      </c>
      <c r="H13" s="34" t="s">
        <v>166</v>
      </c>
      <c r="I13" s="34" t="s">
        <v>166</v>
      </c>
      <c r="J13" s="34" t="s">
        <v>166</v>
      </c>
      <c r="K13" s="34" t="s">
        <v>166</v>
      </c>
      <c r="L13" s="34" t="s">
        <v>166</v>
      </c>
    </row>
    <row r="14" spans="1:12" x14ac:dyDescent="0.35">
      <c r="A14" s="225" t="s">
        <v>167</v>
      </c>
      <c r="B14" s="63"/>
      <c r="C14" s="105">
        <f>IFERROR(C11-C10,"")</f>
        <v>8025</v>
      </c>
      <c r="D14" s="105">
        <f t="shared" ref="D14:L14" si="0">IFERROR(D11-D10,"")</f>
        <v>8025</v>
      </c>
      <c r="E14" s="105">
        <f t="shared" si="0"/>
        <v>0</v>
      </c>
      <c r="F14" s="105">
        <f t="shared" si="0"/>
        <v>8025</v>
      </c>
      <c r="G14" s="105">
        <f t="shared" si="0"/>
        <v>4088</v>
      </c>
      <c r="H14" s="105">
        <f t="shared" si="0"/>
        <v>8025</v>
      </c>
      <c r="I14" s="105">
        <f t="shared" si="0"/>
        <v>8025</v>
      </c>
      <c r="J14" s="105">
        <f t="shared" si="0"/>
        <v>4088</v>
      </c>
      <c r="K14" s="105">
        <f t="shared" si="0"/>
        <v>4088</v>
      </c>
      <c r="L14" s="105">
        <f t="shared" si="0"/>
        <v>23434</v>
      </c>
    </row>
    <row r="15" spans="1:12" ht="16.399999999999999" customHeight="1" x14ac:dyDescent="0.35">
      <c r="A15" s="65" t="s">
        <v>2</v>
      </c>
      <c r="B15" s="66"/>
      <c r="C15" s="106"/>
      <c r="D15" s="104"/>
      <c r="E15" s="104"/>
      <c r="F15" s="104"/>
      <c r="G15" s="104"/>
      <c r="H15" s="104"/>
      <c r="I15" s="104"/>
      <c r="J15" s="104"/>
      <c r="K15" s="104"/>
      <c r="L15" s="104"/>
    </row>
    <row r="16" spans="1:12" x14ac:dyDescent="0.35">
      <c r="A16" s="21" t="s">
        <v>159</v>
      </c>
      <c r="B16" s="22"/>
      <c r="C16" s="60">
        <v>43015</v>
      </c>
      <c r="D16" s="60">
        <v>43015</v>
      </c>
      <c r="E16" s="60"/>
      <c r="F16" s="60">
        <v>43015</v>
      </c>
      <c r="G16" s="60">
        <v>42840</v>
      </c>
      <c r="H16" s="60">
        <v>43015</v>
      </c>
      <c r="I16" s="60">
        <v>43015</v>
      </c>
      <c r="J16" s="60">
        <v>42840</v>
      </c>
      <c r="K16" s="60">
        <v>42840</v>
      </c>
      <c r="L16" s="25"/>
    </row>
    <row r="17" spans="1:12" x14ac:dyDescent="0.35">
      <c r="A17" s="26" t="s">
        <v>161</v>
      </c>
      <c r="B17" s="27" t="s">
        <v>162</v>
      </c>
      <c r="C17" s="59">
        <v>8025</v>
      </c>
      <c r="D17" s="59">
        <v>8025</v>
      </c>
      <c r="E17" s="28"/>
      <c r="F17" s="59">
        <v>8025</v>
      </c>
      <c r="G17" s="59">
        <v>4088</v>
      </c>
      <c r="H17" s="59">
        <v>8025</v>
      </c>
      <c r="I17" s="59">
        <v>8025</v>
      </c>
      <c r="J17" s="59">
        <v>4088</v>
      </c>
      <c r="K17" s="59">
        <v>4088</v>
      </c>
      <c r="L17" s="28"/>
    </row>
    <row r="18" spans="1:12" x14ac:dyDescent="0.35">
      <c r="A18" s="26" t="s">
        <v>161</v>
      </c>
      <c r="B18" s="27" t="s">
        <v>163</v>
      </c>
      <c r="C18" s="59">
        <v>18414</v>
      </c>
      <c r="D18" s="75">
        <v>25791</v>
      </c>
      <c r="E18" s="28"/>
      <c r="F18" s="59">
        <v>12664</v>
      </c>
      <c r="G18" s="59">
        <v>8025</v>
      </c>
      <c r="H18" s="29">
        <v>9911</v>
      </c>
      <c r="I18" s="59">
        <v>10455</v>
      </c>
      <c r="J18" s="59">
        <v>8025</v>
      </c>
      <c r="K18" s="59">
        <v>8025</v>
      </c>
      <c r="L18" s="28"/>
    </row>
    <row r="19" spans="1:12" x14ac:dyDescent="0.35">
      <c r="A19" s="26" t="s">
        <v>164</v>
      </c>
      <c r="B19" s="27"/>
      <c r="C19" s="60">
        <v>43484</v>
      </c>
      <c r="D19" s="60">
        <v>43897</v>
      </c>
      <c r="E19" s="60"/>
      <c r="F19" s="60">
        <v>43231</v>
      </c>
      <c r="G19" s="60">
        <v>43015</v>
      </c>
      <c r="H19" s="60">
        <v>43100</v>
      </c>
      <c r="I19" s="60">
        <v>43124</v>
      </c>
      <c r="J19" s="60">
        <v>43015</v>
      </c>
      <c r="K19" s="60">
        <v>43015</v>
      </c>
      <c r="L19" s="28"/>
    </row>
    <row r="20" spans="1:12" ht="29" x14ac:dyDescent="0.35">
      <c r="A20" s="32" t="s">
        <v>165</v>
      </c>
      <c r="B20" s="37"/>
      <c r="C20" s="34" t="s">
        <v>166</v>
      </c>
      <c r="D20" s="34" t="s">
        <v>166</v>
      </c>
      <c r="E20" s="28"/>
      <c r="F20" s="34" t="s">
        <v>166</v>
      </c>
      <c r="G20" s="34" t="s">
        <v>166</v>
      </c>
      <c r="H20" s="34" t="s">
        <v>166</v>
      </c>
      <c r="I20" s="34" t="s">
        <v>166</v>
      </c>
      <c r="J20" s="34" t="s">
        <v>166</v>
      </c>
      <c r="K20" s="34" t="s">
        <v>166</v>
      </c>
      <c r="L20" s="28"/>
    </row>
    <row r="21" spans="1:12" x14ac:dyDescent="0.35">
      <c r="A21" s="225" t="s">
        <v>167</v>
      </c>
      <c r="B21" s="63"/>
      <c r="C21" s="105">
        <f>IFERROR(C18-C17,"")</f>
        <v>10389</v>
      </c>
      <c r="D21" s="105">
        <f t="shared" ref="D21:L21" si="1">IFERROR(D18-D17,"")</f>
        <v>17766</v>
      </c>
      <c r="E21" s="105">
        <f t="shared" si="1"/>
        <v>0</v>
      </c>
      <c r="F21" s="105">
        <f t="shared" si="1"/>
        <v>4639</v>
      </c>
      <c r="G21" s="105">
        <f t="shared" si="1"/>
        <v>3937</v>
      </c>
      <c r="H21" s="105">
        <f t="shared" si="1"/>
        <v>1886</v>
      </c>
      <c r="I21" s="105">
        <f t="shared" si="1"/>
        <v>2430</v>
      </c>
      <c r="J21" s="105">
        <f t="shared" si="1"/>
        <v>3937</v>
      </c>
      <c r="K21" s="105">
        <f t="shared" si="1"/>
        <v>3937</v>
      </c>
      <c r="L21" s="105">
        <f t="shared" si="1"/>
        <v>0</v>
      </c>
    </row>
    <row r="22" spans="1:12" ht="16.399999999999999" customHeight="1" x14ac:dyDescent="0.35">
      <c r="A22" s="65" t="s">
        <v>2</v>
      </c>
      <c r="B22" s="66"/>
      <c r="C22" s="104">
        <f>AVERAGE(C21,C14)</f>
        <v>9207</v>
      </c>
      <c r="D22" s="104">
        <f t="shared" ref="D22:L22" si="2">AVERAGE(D21,D14)</f>
        <v>12895.5</v>
      </c>
      <c r="E22" s="104">
        <f t="shared" si="2"/>
        <v>0</v>
      </c>
      <c r="F22" s="104">
        <f t="shared" si="2"/>
        <v>6332</v>
      </c>
      <c r="G22" s="104">
        <f t="shared" si="2"/>
        <v>4012.5</v>
      </c>
      <c r="H22" s="104">
        <f t="shared" si="2"/>
        <v>4955.5</v>
      </c>
      <c r="I22" s="104">
        <f t="shared" si="2"/>
        <v>5227.5</v>
      </c>
      <c r="J22" s="104">
        <f t="shared" si="2"/>
        <v>4012.5</v>
      </c>
      <c r="K22" s="104">
        <f t="shared" si="2"/>
        <v>4012.5</v>
      </c>
      <c r="L22" s="104">
        <f t="shared" si="2"/>
        <v>11717</v>
      </c>
    </row>
    <row r="23" spans="1:12" x14ac:dyDescent="0.35">
      <c r="A23" s="21" t="s">
        <v>159</v>
      </c>
      <c r="B23" s="22"/>
      <c r="C23" s="60">
        <v>43484</v>
      </c>
      <c r="D23" s="60">
        <v>43897</v>
      </c>
      <c r="E23" s="25"/>
      <c r="F23" s="60">
        <v>43231</v>
      </c>
      <c r="G23" s="60">
        <v>43015</v>
      </c>
      <c r="H23" s="77" t="s">
        <v>225</v>
      </c>
      <c r="I23" s="60">
        <v>43124</v>
      </c>
      <c r="J23" s="60">
        <v>43015</v>
      </c>
      <c r="K23" s="60">
        <v>43015</v>
      </c>
      <c r="L23" s="25"/>
    </row>
    <row r="24" spans="1:12" x14ac:dyDescent="0.35">
      <c r="A24" s="26" t="s">
        <v>161</v>
      </c>
      <c r="B24" s="27" t="s">
        <v>162</v>
      </c>
      <c r="C24" s="59">
        <v>18414</v>
      </c>
      <c r="D24" s="59">
        <v>25791</v>
      </c>
      <c r="E24" s="28"/>
      <c r="F24" s="59">
        <v>12664</v>
      </c>
      <c r="G24" s="59">
        <v>8025</v>
      </c>
      <c r="H24" s="59">
        <v>9911</v>
      </c>
      <c r="I24" s="59">
        <v>10455</v>
      </c>
      <c r="J24" s="59">
        <v>8025</v>
      </c>
      <c r="K24" s="59">
        <v>8025</v>
      </c>
      <c r="L24" s="28"/>
    </row>
    <row r="25" spans="1:12" x14ac:dyDescent="0.35">
      <c r="A25" s="26" t="s">
        <v>161</v>
      </c>
      <c r="B25" s="27" t="s">
        <v>163</v>
      </c>
      <c r="C25" s="75">
        <v>25791</v>
      </c>
      <c r="D25" s="29">
        <v>32911</v>
      </c>
      <c r="E25" s="28"/>
      <c r="F25" s="59">
        <v>18414</v>
      </c>
      <c r="G25" s="59">
        <v>12664</v>
      </c>
      <c r="H25" s="59">
        <v>10455</v>
      </c>
      <c r="I25" s="59">
        <v>15055</v>
      </c>
      <c r="J25" s="59">
        <v>12664</v>
      </c>
      <c r="K25" s="59">
        <v>12664</v>
      </c>
      <c r="L25" s="28"/>
    </row>
    <row r="26" spans="1:12" x14ac:dyDescent="0.35">
      <c r="A26" s="26" t="s">
        <v>164</v>
      </c>
      <c r="B26" s="27"/>
      <c r="C26" s="60">
        <v>43897</v>
      </c>
      <c r="D26" s="60" t="s">
        <v>255</v>
      </c>
      <c r="E26" s="28"/>
      <c r="F26" s="60">
        <v>43484</v>
      </c>
      <c r="G26" s="60">
        <v>43231</v>
      </c>
      <c r="H26" s="60">
        <v>43124</v>
      </c>
      <c r="I26" s="60">
        <v>43336</v>
      </c>
      <c r="J26" s="60">
        <v>43231</v>
      </c>
      <c r="K26" s="60">
        <v>43231</v>
      </c>
      <c r="L26" s="28"/>
    </row>
    <row r="27" spans="1:12" ht="29" x14ac:dyDescent="0.35">
      <c r="A27" s="32" t="s">
        <v>165</v>
      </c>
      <c r="B27" s="37"/>
      <c r="C27" s="34" t="s">
        <v>166</v>
      </c>
      <c r="D27" s="34" t="s">
        <v>273</v>
      </c>
      <c r="E27" s="28"/>
      <c r="F27" s="34" t="s">
        <v>166</v>
      </c>
      <c r="G27" s="34" t="s">
        <v>166</v>
      </c>
      <c r="H27" s="34" t="s">
        <v>166</v>
      </c>
      <c r="I27" s="34" t="s">
        <v>166</v>
      </c>
      <c r="J27" s="34" t="s">
        <v>166</v>
      </c>
      <c r="K27" s="34" t="s">
        <v>166</v>
      </c>
      <c r="L27" s="28"/>
    </row>
    <row r="28" spans="1:12" x14ac:dyDescent="0.35">
      <c r="A28" s="225" t="s">
        <v>167</v>
      </c>
      <c r="B28" s="63"/>
      <c r="C28" s="105">
        <f>IFERROR(C25-C24,"")</f>
        <v>7377</v>
      </c>
      <c r="D28" s="105">
        <f t="shared" ref="D28:L28" si="3">IFERROR(D25-D24,"")</f>
        <v>7120</v>
      </c>
      <c r="E28" s="105">
        <f t="shared" si="3"/>
        <v>0</v>
      </c>
      <c r="F28" s="105">
        <f t="shared" si="3"/>
        <v>5750</v>
      </c>
      <c r="G28" s="105">
        <f t="shared" si="3"/>
        <v>4639</v>
      </c>
      <c r="H28" s="105">
        <f t="shared" si="3"/>
        <v>544</v>
      </c>
      <c r="I28" s="105">
        <f t="shared" si="3"/>
        <v>4600</v>
      </c>
      <c r="J28" s="105">
        <f t="shared" si="3"/>
        <v>4639</v>
      </c>
      <c r="K28" s="105">
        <f t="shared" si="3"/>
        <v>4639</v>
      </c>
      <c r="L28" s="105">
        <f t="shared" si="3"/>
        <v>0</v>
      </c>
    </row>
    <row r="29" spans="1:12" ht="16.399999999999999" customHeight="1" x14ac:dyDescent="0.35">
      <c r="A29" s="65" t="s">
        <v>2</v>
      </c>
      <c r="B29" s="66"/>
      <c r="C29" s="104">
        <f>AVERAGE(C28,C21,C14)</f>
        <v>8597</v>
      </c>
      <c r="D29" s="104">
        <f t="shared" ref="D29:L29" si="4">AVERAGE(D28,D21,D14)</f>
        <v>10970.333333333334</v>
      </c>
      <c r="E29" s="104">
        <f t="shared" si="4"/>
        <v>0</v>
      </c>
      <c r="F29" s="104">
        <f t="shared" si="4"/>
        <v>6138</v>
      </c>
      <c r="G29" s="104">
        <f t="shared" si="4"/>
        <v>4221.333333333333</v>
      </c>
      <c r="H29" s="104">
        <f t="shared" si="4"/>
        <v>3485</v>
      </c>
      <c r="I29" s="104">
        <f t="shared" si="4"/>
        <v>5018.333333333333</v>
      </c>
      <c r="J29" s="104">
        <f t="shared" si="4"/>
        <v>4221.333333333333</v>
      </c>
      <c r="K29" s="104">
        <f t="shared" si="4"/>
        <v>4221.333333333333</v>
      </c>
      <c r="L29" s="104">
        <f t="shared" si="4"/>
        <v>7811.333333333333</v>
      </c>
    </row>
    <row r="30" spans="1:12" x14ac:dyDescent="0.35">
      <c r="A30" s="21" t="s">
        <v>159</v>
      </c>
      <c r="B30" s="22"/>
      <c r="C30" s="60">
        <v>43897</v>
      </c>
      <c r="D30" s="60"/>
      <c r="E30" s="25"/>
      <c r="F30" s="60">
        <v>43484</v>
      </c>
      <c r="G30" s="60">
        <v>43231</v>
      </c>
      <c r="H30" s="60">
        <v>43124</v>
      </c>
      <c r="I30" s="60">
        <v>43336</v>
      </c>
      <c r="J30" s="25"/>
      <c r="K30" s="60">
        <v>43231</v>
      </c>
      <c r="L30" s="25"/>
    </row>
    <row r="31" spans="1:12" x14ac:dyDescent="0.35">
      <c r="A31" s="26" t="s">
        <v>161</v>
      </c>
      <c r="B31" s="27" t="s">
        <v>162</v>
      </c>
      <c r="C31" s="59">
        <v>25791</v>
      </c>
      <c r="D31" s="59"/>
      <c r="E31" s="28"/>
      <c r="F31" s="59">
        <v>18414</v>
      </c>
      <c r="G31" s="59">
        <v>12664</v>
      </c>
      <c r="H31" s="59">
        <v>10455</v>
      </c>
      <c r="I31" s="59">
        <v>15055</v>
      </c>
      <c r="J31" s="28"/>
      <c r="K31" s="59">
        <v>12664</v>
      </c>
      <c r="L31" s="28"/>
    </row>
    <row r="32" spans="1:12" x14ac:dyDescent="0.35">
      <c r="A32" s="26" t="s">
        <v>161</v>
      </c>
      <c r="B32" s="27" t="s">
        <v>163</v>
      </c>
      <c r="C32" s="75">
        <v>36026</v>
      </c>
      <c r="D32" s="75"/>
      <c r="E32" s="28"/>
      <c r="F32" s="75">
        <v>25791</v>
      </c>
      <c r="G32" s="29">
        <v>25366</v>
      </c>
      <c r="H32" s="59">
        <v>14700</v>
      </c>
      <c r="I32" s="59">
        <v>18414</v>
      </c>
      <c r="J32" s="28"/>
      <c r="K32" s="29">
        <v>18414</v>
      </c>
      <c r="L32" s="28"/>
    </row>
    <row r="33" spans="1:12" x14ac:dyDescent="0.35">
      <c r="A33" s="26" t="s">
        <v>164</v>
      </c>
      <c r="B33" s="27"/>
      <c r="C33" s="60" t="s">
        <v>242</v>
      </c>
      <c r="D33" s="60"/>
      <c r="E33" s="28"/>
      <c r="F33" s="60">
        <v>43897</v>
      </c>
      <c r="G33" s="60">
        <v>43868</v>
      </c>
      <c r="H33" s="60">
        <v>43306</v>
      </c>
      <c r="I33" s="60">
        <v>43484</v>
      </c>
      <c r="J33" s="28"/>
      <c r="K33" s="60">
        <v>43484</v>
      </c>
      <c r="L33" s="28"/>
    </row>
    <row r="34" spans="1:12" ht="29" x14ac:dyDescent="0.35">
      <c r="A34" s="32" t="s">
        <v>165</v>
      </c>
      <c r="B34" s="37"/>
      <c r="C34" s="34"/>
      <c r="D34" s="34"/>
      <c r="E34" s="28"/>
      <c r="F34" s="34" t="s">
        <v>166</v>
      </c>
      <c r="G34" s="34" t="s">
        <v>166</v>
      </c>
      <c r="H34" s="34" t="s">
        <v>166</v>
      </c>
      <c r="I34" s="34" t="s">
        <v>166</v>
      </c>
      <c r="J34" s="28"/>
      <c r="K34" s="34" t="s">
        <v>166</v>
      </c>
      <c r="L34" s="28"/>
    </row>
    <row r="35" spans="1:12" x14ac:dyDescent="0.35">
      <c r="A35" s="225" t="s">
        <v>167</v>
      </c>
      <c r="B35" s="63"/>
      <c r="C35" s="105">
        <f>IFERROR(C32-C31,"")</f>
        <v>10235</v>
      </c>
      <c r="D35" s="105">
        <f t="shared" ref="D35:L35" si="5">IFERROR(D32-D31,"")</f>
        <v>0</v>
      </c>
      <c r="E35" s="105">
        <f t="shared" si="5"/>
        <v>0</v>
      </c>
      <c r="F35" s="105">
        <f t="shared" si="5"/>
        <v>7377</v>
      </c>
      <c r="G35" s="105">
        <f t="shared" si="5"/>
        <v>12702</v>
      </c>
      <c r="H35" s="105">
        <f t="shared" si="5"/>
        <v>4245</v>
      </c>
      <c r="I35" s="105">
        <f t="shared" si="5"/>
        <v>3359</v>
      </c>
      <c r="J35" s="105">
        <f t="shared" si="5"/>
        <v>0</v>
      </c>
      <c r="K35" s="105">
        <f t="shared" si="5"/>
        <v>5750</v>
      </c>
      <c r="L35" s="105">
        <f t="shared" si="5"/>
        <v>0</v>
      </c>
    </row>
    <row r="36" spans="1:12" ht="16.399999999999999" customHeight="1" x14ac:dyDescent="0.35">
      <c r="A36" s="65" t="s">
        <v>2</v>
      </c>
      <c r="B36" s="66"/>
      <c r="C36" s="104">
        <f>AVERAGE(C35,C28,C21,C14)</f>
        <v>9006.5</v>
      </c>
      <c r="D36" s="104">
        <f t="shared" ref="D36:L36" si="6">AVERAGE(D35,D28,D21,D14)</f>
        <v>8227.75</v>
      </c>
      <c r="E36" s="104">
        <f t="shared" si="6"/>
        <v>0</v>
      </c>
      <c r="F36" s="104">
        <f t="shared" si="6"/>
        <v>6447.75</v>
      </c>
      <c r="G36" s="104">
        <f t="shared" si="6"/>
        <v>6341.5</v>
      </c>
      <c r="H36" s="104">
        <f t="shared" si="6"/>
        <v>3675</v>
      </c>
      <c r="I36" s="104">
        <f t="shared" si="6"/>
        <v>4603.5</v>
      </c>
      <c r="J36" s="104">
        <f t="shared" si="6"/>
        <v>3166</v>
      </c>
      <c r="K36" s="104">
        <f t="shared" si="6"/>
        <v>4603.5</v>
      </c>
      <c r="L36" s="104">
        <f t="shared" si="6"/>
        <v>5858.5</v>
      </c>
    </row>
    <row r="37" spans="1:12" x14ac:dyDescent="0.35">
      <c r="A37" s="21" t="s">
        <v>159</v>
      </c>
      <c r="B37" s="22"/>
      <c r="C37" s="91" t="s">
        <v>242</v>
      </c>
      <c r="D37" s="25"/>
      <c r="E37" s="25"/>
      <c r="F37" s="24">
        <v>43897</v>
      </c>
      <c r="G37" s="24">
        <v>43868</v>
      </c>
      <c r="H37" s="60">
        <v>43306</v>
      </c>
      <c r="I37" s="60">
        <v>43484</v>
      </c>
      <c r="J37" s="25"/>
      <c r="K37" s="60">
        <v>43484</v>
      </c>
      <c r="L37" s="25"/>
    </row>
    <row r="38" spans="1:12" x14ac:dyDescent="0.35">
      <c r="A38" s="26" t="s">
        <v>161</v>
      </c>
      <c r="B38" s="27" t="s">
        <v>162</v>
      </c>
      <c r="C38" s="36">
        <v>36026</v>
      </c>
      <c r="D38" s="28"/>
      <c r="E38" s="28"/>
      <c r="F38" s="28">
        <v>25791</v>
      </c>
      <c r="G38" s="28">
        <v>25366</v>
      </c>
      <c r="H38" s="59">
        <v>14700</v>
      </c>
      <c r="I38" s="59">
        <v>18414</v>
      </c>
      <c r="J38" s="28"/>
      <c r="K38" s="29">
        <v>18414</v>
      </c>
      <c r="L38" s="28"/>
    </row>
    <row r="39" spans="1:12" x14ac:dyDescent="0.35">
      <c r="A39" s="26" t="s">
        <v>161</v>
      </c>
      <c r="B39" s="27" t="s">
        <v>163</v>
      </c>
      <c r="C39" s="36">
        <v>40547</v>
      </c>
      <c r="D39" s="28"/>
      <c r="E39" s="28"/>
      <c r="F39" s="28">
        <v>29023</v>
      </c>
      <c r="G39" s="28">
        <v>29023</v>
      </c>
      <c r="H39" s="59">
        <v>15700</v>
      </c>
      <c r="I39" s="59">
        <v>23434</v>
      </c>
      <c r="J39" s="28"/>
      <c r="K39" s="29">
        <v>25366</v>
      </c>
      <c r="L39" s="28"/>
    </row>
    <row r="40" spans="1:12" x14ac:dyDescent="0.35">
      <c r="A40" s="26" t="s">
        <v>164</v>
      </c>
      <c r="B40" s="27"/>
      <c r="C40" s="36" t="s">
        <v>550</v>
      </c>
      <c r="D40" s="28"/>
      <c r="E40" s="28"/>
      <c r="F40" s="28" t="s">
        <v>408</v>
      </c>
      <c r="G40" s="28" t="s">
        <v>408</v>
      </c>
      <c r="H40" s="60">
        <v>43351</v>
      </c>
      <c r="I40" s="60">
        <v>43792</v>
      </c>
      <c r="J40" s="28"/>
      <c r="K40" s="60">
        <v>43868</v>
      </c>
      <c r="L40" s="28"/>
    </row>
    <row r="41" spans="1:12" ht="29" x14ac:dyDescent="0.35">
      <c r="A41" s="32" t="s">
        <v>165</v>
      </c>
      <c r="B41" s="37"/>
      <c r="C41" s="36"/>
      <c r="D41" s="28"/>
      <c r="E41" s="28"/>
      <c r="F41" s="28" t="s">
        <v>264</v>
      </c>
      <c r="G41" s="28" t="s">
        <v>264</v>
      </c>
      <c r="H41" s="34" t="s">
        <v>166</v>
      </c>
      <c r="I41" s="34" t="s">
        <v>166</v>
      </c>
      <c r="J41" s="28"/>
      <c r="K41" s="34" t="s">
        <v>166</v>
      </c>
      <c r="L41" s="28"/>
    </row>
    <row r="42" spans="1:12" x14ac:dyDescent="0.35">
      <c r="A42" s="225" t="s">
        <v>167</v>
      </c>
      <c r="B42" s="63"/>
      <c r="C42" s="105">
        <f>IFERROR(C39-C38,"")</f>
        <v>4521</v>
      </c>
      <c r="D42" s="105">
        <f t="shared" ref="D42:L42" si="7">IFERROR(D39-D38,"")</f>
        <v>0</v>
      </c>
      <c r="E42" s="105">
        <f t="shared" si="7"/>
        <v>0</v>
      </c>
      <c r="F42" s="105">
        <f t="shared" si="7"/>
        <v>3232</v>
      </c>
      <c r="G42" s="105">
        <f t="shared" si="7"/>
        <v>3657</v>
      </c>
      <c r="H42" s="105">
        <f t="shared" si="7"/>
        <v>1000</v>
      </c>
      <c r="I42" s="105">
        <f t="shared" si="7"/>
        <v>5020</v>
      </c>
      <c r="J42" s="105">
        <f t="shared" si="7"/>
        <v>0</v>
      </c>
      <c r="K42" s="105">
        <f t="shared" si="7"/>
        <v>6952</v>
      </c>
      <c r="L42" s="105">
        <f t="shared" si="7"/>
        <v>0</v>
      </c>
    </row>
    <row r="43" spans="1:12" ht="16.399999999999999" customHeight="1" x14ac:dyDescent="0.35">
      <c r="A43" s="65" t="s">
        <v>2</v>
      </c>
      <c r="B43" s="66"/>
      <c r="C43" s="104">
        <f>AVERAGE(C42,C35,C28,C21,C14)</f>
        <v>8109.4</v>
      </c>
      <c r="D43" s="104">
        <f t="shared" ref="D43:L43" si="8">AVERAGE(D42,D35,D28,D21,D14)</f>
        <v>6582.2</v>
      </c>
      <c r="E43" s="104">
        <f t="shared" si="8"/>
        <v>0</v>
      </c>
      <c r="F43" s="104">
        <f t="shared" si="8"/>
        <v>5804.6</v>
      </c>
      <c r="G43" s="104">
        <f t="shared" si="8"/>
        <v>5804.6</v>
      </c>
      <c r="H43" s="104">
        <f t="shared" si="8"/>
        <v>3140</v>
      </c>
      <c r="I43" s="104">
        <f t="shared" si="8"/>
        <v>4686.8</v>
      </c>
      <c r="J43" s="104">
        <f t="shared" si="8"/>
        <v>2532.8000000000002</v>
      </c>
      <c r="K43" s="104">
        <f t="shared" si="8"/>
        <v>5073.2</v>
      </c>
      <c r="L43" s="104">
        <f t="shared" si="8"/>
        <v>4686.8</v>
      </c>
    </row>
    <row r="44" spans="1:12" x14ac:dyDescent="0.35">
      <c r="A44" s="21" t="s">
        <v>159</v>
      </c>
      <c r="B44" s="22"/>
      <c r="C44" s="35"/>
      <c r="D44" s="25"/>
      <c r="E44" s="25"/>
      <c r="F44" s="25"/>
      <c r="G44" s="24" t="s">
        <v>408</v>
      </c>
      <c r="H44" s="60">
        <v>43351</v>
      </c>
      <c r="I44" s="77">
        <v>43792</v>
      </c>
      <c r="J44" s="25"/>
      <c r="K44" s="60">
        <v>43868</v>
      </c>
      <c r="L44" s="25"/>
    </row>
    <row r="45" spans="1:12" x14ac:dyDescent="0.35">
      <c r="A45" s="26" t="s">
        <v>161</v>
      </c>
      <c r="B45" s="27" t="s">
        <v>162</v>
      </c>
      <c r="C45" s="36"/>
      <c r="D45" s="28"/>
      <c r="E45" s="28"/>
      <c r="F45" s="28"/>
      <c r="G45" s="28">
        <v>29023</v>
      </c>
      <c r="H45" s="59">
        <v>15700</v>
      </c>
      <c r="I45" s="59">
        <v>23434</v>
      </c>
      <c r="J45" s="28"/>
      <c r="K45" s="29">
        <v>25366</v>
      </c>
      <c r="L45" s="28"/>
    </row>
    <row r="46" spans="1:12" x14ac:dyDescent="0.35">
      <c r="A46" s="26" t="s">
        <v>161</v>
      </c>
      <c r="B46" s="27" t="s">
        <v>163</v>
      </c>
      <c r="C46" s="36"/>
      <c r="D46" s="28"/>
      <c r="E46" s="28"/>
      <c r="F46" s="28"/>
      <c r="G46" s="28">
        <v>38619</v>
      </c>
      <c r="H46" s="29">
        <v>18414</v>
      </c>
      <c r="I46" s="59">
        <v>27973</v>
      </c>
      <c r="J46" s="28"/>
      <c r="K46" s="29">
        <v>29023</v>
      </c>
      <c r="L46" s="28"/>
    </row>
    <row r="47" spans="1:12" x14ac:dyDescent="0.35">
      <c r="A47" s="26" t="s">
        <v>164</v>
      </c>
      <c r="B47" s="27"/>
      <c r="C47" s="36"/>
      <c r="D47" s="28"/>
      <c r="E47" s="28"/>
      <c r="F47" s="28"/>
      <c r="G47" s="28" t="s">
        <v>243</v>
      </c>
      <c r="H47" s="60">
        <v>43484</v>
      </c>
      <c r="I47" s="59" t="s">
        <v>409</v>
      </c>
      <c r="J47" s="28"/>
      <c r="K47" s="28" t="s">
        <v>408</v>
      </c>
      <c r="L47" s="28"/>
    </row>
    <row r="48" spans="1:12" ht="29" x14ac:dyDescent="0.35">
      <c r="A48" s="32" t="s">
        <v>165</v>
      </c>
      <c r="B48" s="37"/>
      <c r="C48" s="36"/>
      <c r="D48" s="28"/>
      <c r="E48" s="28"/>
      <c r="F48" s="28"/>
      <c r="G48" s="28"/>
      <c r="H48" s="34" t="s">
        <v>166</v>
      </c>
      <c r="I48" s="59" t="s">
        <v>264</v>
      </c>
      <c r="J48" s="28"/>
      <c r="K48" s="29" t="s">
        <v>264</v>
      </c>
      <c r="L48" s="28"/>
    </row>
    <row r="49" spans="1:12" x14ac:dyDescent="0.35">
      <c r="A49" s="225" t="s">
        <v>167</v>
      </c>
      <c r="B49" s="63"/>
      <c r="C49" s="105">
        <f>IFERROR(C46-C45,"")</f>
        <v>0</v>
      </c>
      <c r="D49" s="105">
        <f t="shared" ref="D49:L49" si="9">IFERROR(D46-D45,"")</f>
        <v>0</v>
      </c>
      <c r="E49" s="105">
        <f t="shared" si="9"/>
        <v>0</v>
      </c>
      <c r="F49" s="105">
        <f t="shared" si="9"/>
        <v>0</v>
      </c>
      <c r="G49" s="105">
        <f t="shared" si="9"/>
        <v>9596</v>
      </c>
      <c r="H49" s="105">
        <f t="shared" si="9"/>
        <v>2714</v>
      </c>
      <c r="I49" s="105">
        <f t="shared" si="9"/>
        <v>4539</v>
      </c>
      <c r="J49" s="105">
        <f t="shared" si="9"/>
        <v>0</v>
      </c>
      <c r="K49" s="105">
        <f t="shared" si="9"/>
        <v>3657</v>
      </c>
      <c r="L49" s="105">
        <f t="shared" si="9"/>
        <v>0</v>
      </c>
    </row>
    <row r="50" spans="1:12" ht="16.399999999999999" customHeight="1" x14ac:dyDescent="0.35">
      <c r="A50" s="65" t="s">
        <v>2</v>
      </c>
      <c r="B50" s="66"/>
      <c r="C50" s="104">
        <f>AVERAGE(C49,C42,C35,C28,C21,C14)</f>
        <v>6757.833333333333</v>
      </c>
      <c r="D50" s="104">
        <f t="shared" ref="D50:L50" si="10">AVERAGE(D49,D42,D35,D28,D21,D14)</f>
        <v>5485.166666666667</v>
      </c>
      <c r="E50" s="104">
        <f t="shared" si="10"/>
        <v>0</v>
      </c>
      <c r="F50" s="104">
        <f t="shared" si="10"/>
        <v>4837.166666666667</v>
      </c>
      <c r="G50" s="104">
        <f t="shared" si="10"/>
        <v>6436.5</v>
      </c>
      <c r="H50" s="104">
        <f t="shared" si="10"/>
        <v>3069</v>
      </c>
      <c r="I50" s="104">
        <f t="shared" si="10"/>
        <v>4662.166666666667</v>
      </c>
      <c r="J50" s="104">
        <f t="shared" si="10"/>
        <v>2110.6666666666665</v>
      </c>
      <c r="K50" s="104">
        <f t="shared" si="10"/>
        <v>4837.166666666667</v>
      </c>
      <c r="L50" s="104">
        <f t="shared" si="10"/>
        <v>3905.6666666666665</v>
      </c>
    </row>
    <row r="51" spans="1:12" x14ac:dyDescent="0.35">
      <c r="A51" s="21" t="s">
        <v>159</v>
      </c>
      <c r="B51" s="22"/>
      <c r="C51" s="35"/>
      <c r="D51" s="25"/>
      <c r="E51" s="25"/>
      <c r="F51" s="25"/>
      <c r="G51" s="24"/>
      <c r="H51" s="60">
        <v>43484</v>
      </c>
      <c r="I51" s="59" t="s">
        <v>409</v>
      </c>
      <c r="J51" s="25"/>
      <c r="K51" s="60" t="s">
        <v>408</v>
      </c>
      <c r="L51" s="25"/>
    </row>
    <row r="52" spans="1:12" x14ac:dyDescent="0.35">
      <c r="A52" s="26" t="s">
        <v>161</v>
      </c>
      <c r="B52" s="27" t="s">
        <v>162</v>
      </c>
      <c r="C52" s="36"/>
      <c r="D52" s="28"/>
      <c r="E52" s="28"/>
      <c r="F52" s="28"/>
      <c r="G52" s="28"/>
      <c r="H52" s="29">
        <v>18414</v>
      </c>
      <c r="I52" s="59">
        <v>27973</v>
      </c>
      <c r="J52" s="28"/>
      <c r="K52" s="29">
        <v>29023</v>
      </c>
      <c r="L52" s="28"/>
    </row>
    <row r="53" spans="1:12" x14ac:dyDescent="0.35">
      <c r="A53" s="26" t="s">
        <v>161</v>
      </c>
      <c r="B53" s="27" t="s">
        <v>163</v>
      </c>
      <c r="C53" s="36"/>
      <c r="D53" s="28"/>
      <c r="E53" s="28"/>
      <c r="F53" s="28"/>
      <c r="G53" s="28"/>
      <c r="H53" s="77"/>
      <c r="I53" s="59">
        <v>29023</v>
      </c>
      <c r="J53" s="28"/>
      <c r="K53" s="29">
        <v>34706</v>
      </c>
      <c r="L53" s="28"/>
    </row>
    <row r="54" spans="1:12" x14ac:dyDescent="0.35">
      <c r="A54" s="26" t="s">
        <v>164</v>
      </c>
      <c r="B54" s="27"/>
      <c r="C54" s="36"/>
      <c r="D54" s="28"/>
      <c r="E54" s="28"/>
      <c r="F54" s="28"/>
      <c r="G54" s="28"/>
      <c r="H54" s="60">
        <v>43665</v>
      </c>
      <c r="I54" s="59" t="s">
        <v>408</v>
      </c>
      <c r="J54" s="28"/>
      <c r="K54" s="28" t="s">
        <v>250</v>
      </c>
      <c r="L54" s="28"/>
    </row>
    <row r="55" spans="1:12" ht="29" x14ac:dyDescent="0.35">
      <c r="A55" s="32" t="s">
        <v>165</v>
      </c>
      <c r="B55" s="37"/>
      <c r="C55" s="36"/>
      <c r="D55" s="28"/>
      <c r="E55" s="28"/>
      <c r="F55" s="28"/>
      <c r="G55" s="28"/>
      <c r="H55" s="34" t="s">
        <v>166</v>
      </c>
      <c r="I55" s="59" t="s">
        <v>264</v>
      </c>
      <c r="J55" s="28"/>
      <c r="K55" s="29"/>
      <c r="L55" s="28"/>
    </row>
    <row r="56" spans="1:12" x14ac:dyDescent="0.35">
      <c r="A56" s="225" t="s">
        <v>167</v>
      </c>
      <c r="B56" s="63"/>
      <c r="C56" s="105">
        <f>IFERROR(C53-C52,"")</f>
        <v>0</v>
      </c>
      <c r="D56" s="105">
        <f t="shared" ref="D56:L56" si="11">IFERROR(D53-D52,"")</f>
        <v>0</v>
      </c>
      <c r="E56" s="105">
        <f t="shared" si="11"/>
        <v>0</v>
      </c>
      <c r="F56" s="105">
        <f t="shared" si="11"/>
        <v>0</v>
      </c>
      <c r="G56" s="105">
        <f t="shared" si="11"/>
        <v>0</v>
      </c>
      <c r="H56" s="105">
        <f t="shared" si="11"/>
        <v>-18414</v>
      </c>
      <c r="I56" s="105">
        <f t="shared" si="11"/>
        <v>1050</v>
      </c>
      <c r="J56" s="105">
        <f t="shared" si="11"/>
        <v>0</v>
      </c>
      <c r="K56" s="105">
        <f t="shared" si="11"/>
        <v>5683</v>
      </c>
      <c r="L56" s="105">
        <f t="shared" si="11"/>
        <v>0</v>
      </c>
    </row>
    <row r="57" spans="1:12" ht="16.399999999999999" customHeight="1" x14ac:dyDescent="0.35">
      <c r="A57" s="65" t="s">
        <v>2</v>
      </c>
      <c r="B57" s="66"/>
      <c r="C57" s="104">
        <f>AVERAGE(C56,C49,C42,C35,C28,C21,C14)</f>
        <v>5792.4285714285716</v>
      </c>
      <c r="D57" s="104">
        <f t="shared" ref="D57:L57" si="12">AVERAGE(D56,D49,D42,D35,D28,D21,D14)</f>
        <v>4701.5714285714284</v>
      </c>
      <c r="E57" s="104">
        <f t="shared" si="12"/>
        <v>0</v>
      </c>
      <c r="F57" s="104">
        <f t="shared" si="12"/>
        <v>4146.1428571428569</v>
      </c>
      <c r="G57" s="104">
        <f t="shared" si="12"/>
        <v>5517</v>
      </c>
      <c r="H57" s="104">
        <f t="shared" si="12"/>
        <v>0</v>
      </c>
      <c r="I57" s="104">
        <f t="shared" si="12"/>
        <v>4146.1428571428569</v>
      </c>
      <c r="J57" s="104">
        <f t="shared" si="12"/>
        <v>1809.1428571428571</v>
      </c>
      <c r="K57" s="104">
        <f t="shared" si="12"/>
        <v>4958</v>
      </c>
      <c r="L57" s="104">
        <f t="shared" si="12"/>
        <v>3347.7142857142858</v>
      </c>
    </row>
    <row r="58" spans="1:12" x14ac:dyDescent="0.35">
      <c r="A58" s="21" t="s">
        <v>159</v>
      </c>
      <c r="B58" s="22"/>
      <c r="C58" s="35"/>
      <c r="D58" s="25"/>
      <c r="E58" s="25"/>
      <c r="F58" s="25"/>
      <c r="G58" s="24"/>
      <c r="H58" s="60">
        <v>43665</v>
      </c>
      <c r="I58" s="59" t="s">
        <v>408</v>
      </c>
      <c r="J58" s="25"/>
      <c r="K58" s="60" t="s">
        <v>250</v>
      </c>
      <c r="L58" s="25"/>
    </row>
    <row r="59" spans="1:12" x14ac:dyDescent="0.35">
      <c r="A59" s="26" t="s">
        <v>161</v>
      </c>
      <c r="B59" s="27" t="s">
        <v>162</v>
      </c>
      <c r="C59" s="36"/>
      <c r="D59" s="28"/>
      <c r="E59" s="28"/>
      <c r="F59" s="28"/>
      <c r="G59" s="28"/>
      <c r="H59" s="77"/>
      <c r="I59" s="59">
        <v>29023</v>
      </c>
      <c r="J59" s="28"/>
      <c r="K59" s="29">
        <v>34706</v>
      </c>
      <c r="L59" s="28"/>
    </row>
    <row r="60" spans="1:12" x14ac:dyDescent="0.35">
      <c r="A60" s="26" t="s">
        <v>161</v>
      </c>
      <c r="B60" s="27" t="s">
        <v>163</v>
      </c>
      <c r="C60" s="36"/>
      <c r="D60" s="28"/>
      <c r="E60" s="28"/>
      <c r="F60" s="28"/>
      <c r="G60" s="28"/>
      <c r="H60" s="59">
        <v>24760</v>
      </c>
      <c r="I60" s="59">
        <v>31004</v>
      </c>
      <c r="J60" s="28"/>
      <c r="K60" s="29">
        <v>38619</v>
      </c>
      <c r="L60" s="28"/>
    </row>
    <row r="61" spans="1:12" x14ac:dyDescent="0.35">
      <c r="A61" s="26" t="s">
        <v>164</v>
      </c>
      <c r="B61" s="27"/>
      <c r="C61" s="36"/>
      <c r="D61" s="28"/>
      <c r="E61" s="28"/>
      <c r="F61" s="28"/>
      <c r="G61" s="28"/>
      <c r="H61" s="60">
        <v>43853</v>
      </c>
      <c r="I61" s="59" t="s">
        <v>281</v>
      </c>
      <c r="J61" s="28"/>
      <c r="K61" s="28" t="s">
        <v>244</v>
      </c>
      <c r="L61" s="28"/>
    </row>
    <row r="62" spans="1:12" ht="29" x14ac:dyDescent="0.35">
      <c r="A62" s="32" t="s">
        <v>165</v>
      </c>
      <c r="B62" s="37"/>
      <c r="C62" s="36"/>
      <c r="D62" s="28"/>
      <c r="E62" s="28"/>
      <c r="F62" s="28"/>
      <c r="G62" s="28"/>
      <c r="H62" s="34" t="s">
        <v>166</v>
      </c>
      <c r="I62" s="59" t="s">
        <v>264</v>
      </c>
      <c r="J62" s="28"/>
      <c r="K62" s="29"/>
      <c r="L62" s="28"/>
    </row>
    <row r="63" spans="1:12" x14ac:dyDescent="0.35">
      <c r="A63" s="225" t="s">
        <v>167</v>
      </c>
      <c r="B63" s="63"/>
      <c r="C63" s="105">
        <f>IFERROR(C60-C59,"")</f>
        <v>0</v>
      </c>
      <c r="D63" s="105">
        <f t="shared" ref="D63:L63" si="13">IFERROR(D60-D59,"")</f>
        <v>0</v>
      </c>
      <c r="E63" s="105">
        <f t="shared" si="13"/>
        <v>0</v>
      </c>
      <c r="F63" s="105">
        <f t="shared" si="13"/>
        <v>0</v>
      </c>
      <c r="G63" s="105">
        <f t="shared" si="13"/>
        <v>0</v>
      </c>
      <c r="H63" s="105">
        <f t="shared" si="13"/>
        <v>24760</v>
      </c>
      <c r="I63" s="105">
        <f t="shared" si="13"/>
        <v>1981</v>
      </c>
      <c r="J63" s="105">
        <f t="shared" si="13"/>
        <v>0</v>
      </c>
      <c r="K63" s="105">
        <f t="shared" si="13"/>
        <v>3913</v>
      </c>
      <c r="L63" s="105">
        <f t="shared" si="13"/>
        <v>0</v>
      </c>
    </row>
    <row r="64" spans="1:12" ht="16.399999999999999" customHeight="1" x14ac:dyDescent="0.35">
      <c r="A64" s="65" t="s">
        <v>2</v>
      </c>
      <c r="B64" s="66"/>
      <c r="C64" s="104">
        <f>AVERAGE(C63,C56,C49,C42,C35,C28,C21,C14)</f>
        <v>5068.375</v>
      </c>
      <c r="D64" s="104">
        <f t="shared" ref="D64:L64" si="14">AVERAGE(D63,D56,D49,D42,D35,D28,D21,D14)</f>
        <v>4113.875</v>
      </c>
      <c r="E64" s="104">
        <f t="shared" si="14"/>
        <v>0</v>
      </c>
      <c r="F64" s="104">
        <f t="shared" si="14"/>
        <v>3627.875</v>
      </c>
      <c r="G64" s="104">
        <f t="shared" si="14"/>
        <v>4827.375</v>
      </c>
      <c r="H64" s="104">
        <f t="shared" si="14"/>
        <v>3095</v>
      </c>
      <c r="I64" s="104">
        <f t="shared" si="14"/>
        <v>3875.5</v>
      </c>
      <c r="J64" s="104">
        <f t="shared" si="14"/>
        <v>1583</v>
      </c>
      <c r="K64" s="104">
        <f t="shared" si="14"/>
        <v>4827.375</v>
      </c>
      <c r="L64" s="104">
        <f t="shared" si="14"/>
        <v>2929.25</v>
      </c>
    </row>
    <row r="65" spans="1:12" x14ac:dyDescent="0.35">
      <c r="A65" s="21" t="s">
        <v>159</v>
      </c>
      <c r="B65" s="22"/>
      <c r="C65" s="35"/>
      <c r="D65" s="25"/>
      <c r="E65" s="25"/>
      <c r="F65" s="25"/>
      <c r="G65" s="24"/>
      <c r="H65" s="60">
        <v>43853</v>
      </c>
      <c r="I65" s="59" t="s">
        <v>281</v>
      </c>
      <c r="J65" s="25"/>
      <c r="K65" s="60"/>
      <c r="L65" s="25"/>
    </row>
    <row r="66" spans="1:12" x14ac:dyDescent="0.35">
      <c r="A66" s="26" t="s">
        <v>161</v>
      </c>
      <c r="B66" s="27" t="s">
        <v>162</v>
      </c>
      <c r="C66" s="36"/>
      <c r="D66" s="28"/>
      <c r="E66" s="28"/>
      <c r="F66" s="28"/>
      <c r="G66" s="28"/>
      <c r="H66" s="59">
        <v>24760</v>
      </c>
      <c r="I66" s="59">
        <v>31004</v>
      </c>
      <c r="J66" s="28"/>
      <c r="K66" s="29"/>
      <c r="L66" s="28"/>
    </row>
    <row r="67" spans="1:12" x14ac:dyDescent="0.35">
      <c r="A67" s="26" t="s">
        <v>161</v>
      </c>
      <c r="B67" s="27" t="s">
        <v>163</v>
      </c>
      <c r="C67" s="36"/>
      <c r="D67" s="28"/>
      <c r="E67" s="28"/>
      <c r="F67" s="28"/>
      <c r="G67" s="28"/>
      <c r="H67" s="59">
        <v>25366</v>
      </c>
      <c r="I67" s="59">
        <v>32911</v>
      </c>
      <c r="J67" s="28"/>
      <c r="K67" s="29"/>
      <c r="L67" s="28"/>
    </row>
    <row r="68" spans="1:12" x14ac:dyDescent="0.35">
      <c r="A68" s="26" t="s">
        <v>164</v>
      </c>
      <c r="B68" s="27"/>
      <c r="C68" s="36"/>
      <c r="D68" s="28"/>
      <c r="E68" s="28"/>
      <c r="F68" s="28"/>
      <c r="G68" s="28"/>
      <c r="H68" s="60">
        <v>43879</v>
      </c>
      <c r="I68" s="59" t="s">
        <v>255</v>
      </c>
      <c r="J68" s="28"/>
      <c r="K68" s="28"/>
      <c r="L68" s="28"/>
    </row>
    <row r="69" spans="1:12" ht="29" x14ac:dyDescent="0.35">
      <c r="A69" s="32" t="s">
        <v>165</v>
      </c>
      <c r="B69" s="37"/>
      <c r="C69" s="36"/>
      <c r="D69" s="28"/>
      <c r="E69" s="28"/>
      <c r="F69" s="28"/>
      <c r="G69" s="28"/>
      <c r="H69" s="34" t="s">
        <v>166</v>
      </c>
      <c r="I69" s="59" t="s">
        <v>273</v>
      </c>
      <c r="J69" s="28"/>
      <c r="K69" s="29"/>
      <c r="L69" s="28"/>
    </row>
    <row r="70" spans="1:12" x14ac:dyDescent="0.35">
      <c r="A70" s="225" t="s">
        <v>167</v>
      </c>
      <c r="B70" s="63"/>
      <c r="C70" s="105">
        <f t="shared" ref="C70:L70" si="15">IFERROR(C67-C66,"")</f>
        <v>0</v>
      </c>
      <c r="D70" s="105">
        <f t="shared" si="15"/>
        <v>0</v>
      </c>
      <c r="E70" s="105">
        <f t="shared" si="15"/>
        <v>0</v>
      </c>
      <c r="F70" s="105">
        <f t="shared" si="15"/>
        <v>0</v>
      </c>
      <c r="G70" s="105">
        <f t="shared" si="15"/>
        <v>0</v>
      </c>
      <c r="H70" s="105">
        <f t="shared" si="15"/>
        <v>606</v>
      </c>
      <c r="I70" s="105">
        <f t="shared" si="15"/>
        <v>1907</v>
      </c>
      <c r="J70" s="105">
        <f t="shared" si="15"/>
        <v>0</v>
      </c>
      <c r="K70" s="105">
        <f t="shared" si="15"/>
        <v>0</v>
      </c>
      <c r="L70" s="105">
        <f t="shared" si="15"/>
        <v>0</v>
      </c>
    </row>
    <row r="71" spans="1:12" ht="16.399999999999999" customHeight="1" x14ac:dyDescent="0.35">
      <c r="A71" s="65" t="s">
        <v>2</v>
      </c>
      <c r="B71" s="66"/>
      <c r="C71" s="104">
        <f>AVERAGE(C70,C63,C56,C49,C42,C35,C28,C21,C14)</f>
        <v>4505.2222222222226</v>
      </c>
      <c r="D71" s="104">
        <f t="shared" ref="D71:L71" si="16">AVERAGE(D70,D63,D56,D49,D42,D35,D28,D21,D14)</f>
        <v>3656.7777777777778</v>
      </c>
      <c r="E71" s="104">
        <f t="shared" si="16"/>
        <v>0</v>
      </c>
      <c r="F71" s="104">
        <f t="shared" si="16"/>
        <v>3224.7777777777778</v>
      </c>
      <c r="G71" s="104">
        <f t="shared" si="16"/>
        <v>4291</v>
      </c>
      <c r="H71" s="104">
        <f t="shared" si="16"/>
        <v>2818.4444444444443</v>
      </c>
      <c r="I71" s="104">
        <f t="shared" si="16"/>
        <v>3656.7777777777778</v>
      </c>
      <c r="J71" s="104">
        <f t="shared" si="16"/>
        <v>1407.1111111111111</v>
      </c>
      <c r="K71" s="104">
        <f t="shared" si="16"/>
        <v>4291</v>
      </c>
      <c r="L71" s="104">
        <f t="shared" si="16"/>
        <v>2603.7777777777778</v>
      </c>
    </row>
    <row r="72" spans="1:12" x14ac:dyDescent="0.35">
      <c r="A72" s="21" t="s">
        <v>159</v>
      </c>
      <c r="B72" s="22"/>
      <c r="C72" s="35"/>
      <c r="D72" s="25"/>
      <c r="E72" s="25"/>
      <c r="F72" s="25"/>
      <c r="G72" s="24"/>
      <c r="H72" s="60">
        <v>43879</v>
      </c>
      <c r="I72" s="59" t="s">
        <v>255</v>
      </c>
      <c r="J72" s="25"/>
      <c r="K72" s="60"/>
      <c r="L72" s="25"/>
    </row>
    <row r="73" spans="1:12" x14ac:dyDescent="0.35">
      <c r="A73" s="26" t="s">
        <v>161</v>
      </c>
      <c r="B73" s="27" t="s">
        <v>162</v>
      </c>
      <c r="C73" s="36"/>
      <c r="D73" s="28"/>
      <c r="E73" s="28"/>
      <c r="F73" s="28"/>
      <c r="G73" s="28"/>
      <c r="H73" s="59">
        <v>25366</v>
      </c>
      <c r="I73" s="59">
        <v>32911</v>
      </c>
      <c r="J73" s="28"/>
      <c r="K73" s="29"/>
      <c r="L73" s="28"/>
    </row>
    <row r="74" spans="1:12" x14ac:dyDescent="0.35">
      <c r="A74" s="26" t="s">
        <v>161</v>
      </c>
      <c r="B74" s="27" t="s">
        <v>163</v>
      </c>
      <c r="C74" s="36"/>
      <c r="D74" s="28"/>
      <c r="E74" s="28"/>
      <c r="F74" s="28"/>
      <c r="G74" s="28"/>
      <c r="H74" s="59">
        <v>25791</v>
      </c>
      <c r="I74" s="59">
        <v>36026</v>
      </c>
      <c r="J74" s="28"/>
      <c r="K74" s="29"/>
      <c r="L74" s="28"/>
    </row>
    <row r="75" spans="1:12" x14ac:dyDescent="0.35">
      <c r="A75" s="26" t="s">
        <v>164</v>
      </c>
      <c r="B75" s="27"/>
      <c r="C75" s="36"/>
      <c r="D75" s="28"/>
      <c r="E75" s="28"/>
      <c r="F75" s="28"/>
      <c r="G75" s="28"/>
      <c r="H75" s="60">
        <v>43897</v>
      </c>
      <c r="I75" s="59" t="s">
        <v>242</v>
      </c>
      <c r="J75" s="28"/>
      <c r="K75" s="28"/>
      <c r="L75" s="28"/>
    </row>
    <row r="76" spans="1:12" ht="29" x14ac:dyDescent="0.35">
      <c r="A76" s="32" t="s">
        <v>165</v>
      </c>
      <c r="B76" s="37"/>
      <c r="C76" s="36"/>
      <c r="D76" s="28"/>
      <c r="E76" s="28"/>
      <c r="F76" s="28"/>
      <c r="G76" s="28"/>
      <c r="H76" s="34" t="s">
        <v>166</v>
      </c>
      <c r="I76" s="59"/>
      <c r="J76" s="28"/>
      <c r="K76" s="29"/>
      <c r="L76" s="28"/>
    </row>
    <row r="77" spans="1:12" x14ac:dyDescent="0.35">
      <c r="A77" s="225" t="s">
        <v>167</v>
      </c>
      <c r="B77" s="63"/>
      <c r="C77" s="105">
        <f>IFERROR(C74-C73,"")</f>
        <v>0</v>
      </c>
      <c r="D77" s="105">
        <f t="shared" ref="D77:L77" si="17">IFERROR(D74-D73,"")</f>
        <v>0</v>
      </c>
      <c r="E77" s="105">
        <f t="shared" si="17"/>
        <v>0</v>
      </c>
      <c r="F77" s="105">
        <f t="shared" si="17"/>
        <v>0</v>
      </c>
      <c r="G77" s="105">
        <f t="shared" si="17"/>
        <v>0</v>
      </c>
      <c r="H77" s="105">
        <f t="shared" si="17"/>
        <v>425</v>
      </c>
      <c r="I77" s="105">
        <f t="shared" si="17"/>
        <v>3115</v>
      </c>
      <c r="J77" s="105">
        <f t="shared" si="17"/>
        <v>0</v>
      </c>
      <c r="K77" s="105">
        <f t="shared" si="17"/>
        <v>0</v>
      </c>
      <c r="L77" s="105">
        <f t="shared" si="17"/>
        <v>0</v>
      </c>
    </row>
    <row r="78" spans="1:12" ht="16.399999999999999" customHeight="1" x14ac:dyDescent="0.35">
      <c r="A78" s="65" t="s">
        <v>2</v>
      </c>
      <c r="B78" s="66"/>
      <c r="C78" s="104">
        <f>AVERAGE(C77,C70,C63,C56,C49,C42,C35,C28,C21,C14)</f>
        <v>4054.7</v>
      </c>
      <c r="D78" s="104">
        <f t="shared" ref="D78:L78" si="18">AVERAGE(D77,D70,D63,D56,D49,D42,D35,D28,D21,D14)</f>
        <v>3291.1</v>
      </c>
      <c r="E78" s="104">
        <f t="shared" si="18"/>
        <v>0</v>
      </c>
      <c r="F78" s="104">
        <f t="shared" si="18"/>
        <v>2902.3</v>
      </c>
      <c r="G78" s="104">
        <f t="shared" si="18"/>
        <v>3861.9</v>
      </c>
      <c r="H78" s="104">
        <f t="shared" si="18"/>
        <v>2579.1</v>
      </c>
      <c r="I78" s="104">
        <f t="shared" si="18"/>
        <v>3602.6</v>
      </c>
      <c r="J78" s="104">
        <f t="shared" si="18"/>
        <v>1266.4000000000001</v>
      </c>
      <c r="K78" s="104">
        <f t="shared" si="18"/>
        <v>3861.9</v>
      </c>
      <c r="L78" s="104">
        <f t="shared" si="18"/>
        <v>2343.4</v>
      </c>
    </row>
    <row r="79" spans="1:12" x14ac:dyDescent="0.35">
      <c r="A79" s="21" t="s">
        <v>159</v>
      </c>
      <c r="B79" s="22"/>
      <c r="C79" s="35"/>
      <c r="D79" s="25"/>
      <c r="E79" s="25"/>
      <c r="F79" s="25"/>
      <c r="G79" s="24"/>
      <c r="H79" s="60">
        <v>43897</v>
      </c>
      <c r="I79" s="59" t="s">
        <v>242</v>
      </c>
      <c r="J79" s="25"/>
      <c r="K79" s="60"/>
      <c r="L79" s="25"/>
    </row>
    <row r="80" spans="1:12" x14ac:dyDescent="0.35">
      <c r="A80" s="26" t="s">
        <v>161</v>
      </c>
      <c r="B80" s="27" t="s">
        <v>162</v>
      </c>
      <c r="C80" s="36"/>
      <c r="D80" s="28"/>
      <c r="E80" s="28"/>
      <c r="F80" s="28"/>
      <c r="G80" s="28"/>
      <c r="H80" s="59">
        <v>25791</v>
      </c>
      <c r="I80" s="59">
        <v>36026</v>
      </c>
      <c r="J80" s="28"/>
      <c r="K80" s="29"/>
      <c r="L80" s="28"/>
    </row>
    <row r="81" spans="1:12" x14ac:dyDescent="0.35">
      <c r="A81" s="26" t="s">
        <v>161</v>
      </c>
      <c r="B81" s="27" t="s">
        <v>163</v>
      </c>
      <c r="C81" s="36"/>
      <c r="D81" s="28"/>
      <c r="E81" s="28"/>
      <c r="F81" s="28"/>
      <c r="G81" s="28"/>
      <c r="H81" s="59">
        <v>26533</v>
      </c>
      <c r="I81" s="59">
        <v>38619</v>
      </c>
      <c r="J81" s="28"/>
      <c r="K81" s="29"/>
      <c r="L81" s="28"/>
    </row>
    <row r="82" spans="1:12" x14ac:dyDescent="0.35">
      <c r="A82" s="26" t="s">
        <v>164</v>
      </c>
      <c r="B82" s="27"/>
      <c r="C82" s="36"/>
      <c r="D82" s="28"/>
      <c r="E82" s="28"/>
      <c r="F82" s="28"/>
      <c r="G82" s="28"/>
      <c r="H82" s="60">
        <v>43929</v>
      </c>
      <c r="I82" s="59" t="s">
        <v>244</v>
      </c>
      <c r="J82" s="28"/>
      <c r="K82" s="28"/>
      <c r="L82" s="28"/>
    </row>
    <row r="83" spans="1:12" ht="29" x14ac:dyDescent="0.35">
      <c r="A83" s="32" t="s">
        <v>165</v>
      </c>
      <c r="B83" s="37"/>
      <c r="C83" s="36"/>
      <c r="D83" s="28"/>
      <c r="E83" s="28"/>
      <c r="F83" s="28"/>
      <c r="G83" s="28"/>
      <c r="H83" s="34" t="s">
        <v>166</v>
      </c>
      <c r="I83" s="59"/>
      <c r="J83" s="28"/>
      <c r="K83" s="29"/>
      <c r="L83" s="28"/>
    </row>
    <row r="84" spans="1:12" x14ac:dyDescent="0.35">
      <c r="A84" s="225" t="s">
        <v>167</v>
      </c>
      <c r="B84" s="63"/>
      <c r="C84" s="105">
        <f>IFERROR(C81-C80,"")</f>
        <v>0</v>
      </c>
      <c r="D84" s="105">
        <f t="shared" ref="D84:L84" si="19">IFERROR(D81-D80,"")</f>
        <v>0</v>
      </c>
      <c r="E84" s="105">
        <f t="shared" si="19"/>
        <v>0</v>
      </c>
      <c r="F84" s="105">
        <f t="shared" si="19"/>
        <v>0</v>
      </c>
      <c r="G84" s="105">
        <f t="shared" si="19"/>
        <v>0</v>
      </c>
      <c r="H84" s="105">
        <f t="shared" si="19"/>
        <v>742</v>
      </c>
      <c r="I84" s="105">
        <f t="shared" si="19"/>
        <v>2593</v>
      </c>
      <c r="J84" s="105">
        <f t="shared" si="19"/>
        <v>0</v>
      </c>
      <c r="K84" s="105">
        <f t="shared" si="19"/>
        <v>0</v>
      </c>
      <c r="L84" s="105">
        <f t="shared" si="19"/>
        <v>0</v>
      </c>
    </row>
    <row r="85" spans="1:12" ht="16.399999999999999" customHeight="1" x14ac:dyDescent="0.35">
      <c r="A85" s="65" t="s">
        <v>2</v>
      </c>
      <c r="B85" s="66"/>
      <c r="C85" s="104">
        <f>AVERAGE(C84,C77,C70,C63,C56,C49,C42,C35,C28,C21,C14)</f>
        <v>3686.090909090909</v>
      </c>
      <c r="D85" s="104">
        <f t="shared" ref="D85:L85" si="20">AVERAGE(D84,D77,D70,D63,D56,D49,D42,D35,D28,D21,D14)</f>
        <v>2991.909090909091</v>
      </c>
      <c r="E85" s="104">
        <f t="shared" si="20"/>
        <v>0</v>
      </c>
      <c r="F85" s="104">
        <f t="shared" si="20"/>
        <v>2638.4545454545455</v>
      </c>
      <c r="G85" s="104">
        <f t="shared" si="20"/>
        <v>3510.818181818182</v>
      </c>
      <c r="H85" s="104">
        <f t="shared" si="20"/>
        <v>2412.090909090909</v>
      </c>
      <c r="I85" s="104">
        <f t="shared" si="20"/>
        <v>3510.818181818182</v>
      </c>
      <c r="J85" s="104">
        <f t="shared" si="20"/>
        <v>1151.2727272727273</v>
      </c>
      <c r="K85" s="104">
        <f t="shared" si="20"/>
        <v>3510.818181818182</v>
      </c>
      <c r="L85" s="104">
        <f t="shared" si="20"/>
        <v>2130.3636363636365</v>
      </c>
    </row>
    <row r="86" spans="1:12" x14ac:dyDescent="0.35">
      <c r="A86" s="21" t="s">
        <v>159</v>
      </c>
      <c r="B86" s="22"/>
      <c r="C86" s="35"/>
      <c r="D86" s="25"/>
      <c r="E86" s="25"/>
      <c r="F86" s="25"/>
      <c r="G86" s="24"/>
      <c r="H86" s="60">
        <v>43929</v>
      </c>
      <c r="I86" s="59"/>
      <c r="J86" s="25"/>
      <c r="K86" s="60"/>
      <c r="L86" s="25"/>
    </row>
    <row r="87" spans="1:12" x14ac:dyDescent="0.35">
      <c r="A87" s="26" t="s">
        <v>161</v>
      </c>
      <c r="B87" s="27" t="s">
        <v>162</v>
      </c>
      <c r="C87" s="36"/>
      <c r="D87" s="28"/>
      <c r="E87" s="28"/>
      <c r="F87" s="28"/>
      <c r="G87" s="28"/>
      <c r="H87" s="59">
        <v>25791</v>
      </c>
      <c r="I87" s="59"/>
      <c r="J87" s="28"/>
      <c r="K87" s="29"/>
      <c r="L87" s="28"/>
    </row>
    <row r="88" spans="1:12" x14ac:dyDescent="0.35">
      <c r="A88" s="26" t="s">
        <v>161</v>
      </c>
      <c r="B88" s="27" t="s">
        <v>163</v>
      </c>
      <c r="C88" s="36"/>
      <c r="D88" s="28"/>
      <c r="E88" s="28"/>
      <c r="F88" s="28"/>
      <c r="G88" s="28"/>
      <c r="H88" s="59">
        <v>27781</v>
      </c>
      <c r="I88" s="59"/>
      <c r="J88" s="28"/>
      <c r="K88" s="29"/>
      <c r="L88" s="28"/>
    </row>
    <row r="89" spans="1:12" x14ac:dyDescent="0.35">
      <c r="A89" s="26" t="s">
        <v>164</v>
      </c>
      <c r="B89" s="27"/>
      <c r="C89" s="36"/>
      <c r="D89" s="28"/>
      <c r="E89" s="28"/>
      <c r="F89" s="28"/>
      <c r="G89" s="28"/>
      <c r="H89" s="60" t="s">
        <v>410</v>
      </c>
      <c r="I89" s="59"/>
      <c r="J89" s="28"/>
      <c r="K89" s="28"/>
      <c r="L89" s="28"/>
    </row>
    <row r="90" spans="1:12" x14ac:dyDescent="0.35">
      <c r="A90" s="32" t="s">
        <v>165</v>
      </c>
      <c r="B90" s="37"/>
      <c r="C90" s="36"/>
      <c r="D90" s="28"/>
      <c r="E90" s="28"/>
      <c r="F90" s="28"/>
      <c r="G90" s="28"/>
      <c r="H90" s="34"/>
      <c r="I90" s="59"/>
      <c r="J90" s="28"/>
      <c r="K90" s="29"/>
      <c r="L90" s="28"/>
    </row>
    <row r="91" spans="1:12" x14ac:dyDescent="0.35">
      <c r="A91" s="225" t="s">
        <v>167</v>
      </c>
      <c r="B91" s="63"/>
      <c r="C91" s="105">
        <f>IFERROR(C88-C87,"")</f>
        <v>0</v>
      </c>
      <c r="D91" s="105">
        <f t="shared" ref="D91:L91" si="21">IFERROR(D88-D87,"")</f>
        <v>0</v>
      </c>
      <c r="E91" s="105">
        <f t="shared" si="21"/>
        <v>0</v>
      </c>
      <c r="F91" s="105">
        <f t="shared" si="21"/>
        <v>0</v>
      </c>
      <c r="G91" s="105">
        <f t="shared" si="21"/>
        <v>0</v>
      </c>
      <c r="H91" s="105">
        <f t="shared" si="21"/>
        <v>1990</v>
      </c>
      <c r="I91" s="105">
        <f t="shared" si="21"/>
        <v>0</v>
      </c>
      <c r="J91" s="105">
        <f t="shared" si="21"/>
        <v>0</v>
      </c>
      <c r="K91" s="105">
        <f t="shared" si="21"/>
        <v>0</v>
      </c>
      <c r="L91" s="105">
        <f t="shared" si="21"/>
        <v>0</v>
      </c>
    </row>
    <row r="92" spans="1:12" ht="15.5" x14ac:dyDescent="0.35">
      <c r="A92" s="65" t="s">
        <v>2</v>
      </c>
      <c r="B92" s="66"/>
      <c r="C92" s="104">
        <f>AVERAGE(C91,C84,C77,C70,C63,C56,C49,C42,C35,C28,C21,C14)</f>
        <v>3378.9166666666665</v>
      </c>
      <c r="D92" s="104">
        <f t="shared" ref="D92:J92" si="22">AVERAGE(D91,D84,D77,D70,D63,D56,D49,D42,D35,D28,D21,D14)</f>
        <v>2742.5833333333335</v>
      </c>
      <c r="E92" s="104">
        <f t="shared" si="22"/>
        <v>0</v>
      </c>
      <c r="F92" s="104">
        <f t="shared" si="22"/>
        <v>2418.5833333333335</v>
      </c>
      <c r="G92" s="104">
        <f t="shared" si="22"/>
        <v>3218.25</v>
      </c>
      <c r="H92" s="104">
        <f t="shared" si="22"/>
        <v>2376.9166666666665</v>
      </c>
      <c r="I92" s="104">
        <f t="shared" si="22"/>
        <v>3218.25</v>
      </c>
      <c r="J92" s="104">
        <f t="shared" si="22"/>
        <v>1055.3333333333333</v>
      </c>
      <c r="K92" s="104">
        <f t="shared" ref="K92:L92" si="23">AVERAGE(K91,K84,K77,K70,K63,K56,K49,K42,K35,K28,K21)</f>
        <v>3139.181818181818</v>
      </c>
      <c r="L92" s="104">
        <f t="shared" si="23"/>
        <v>0</v>
      </c>
    </row>
    <row r="93" spans="1:12" x14ac:dyDescent="0.35">
      <c r="A93" s="21" t="s">
        <v>159</v>
      </c>
      <c r="B93" s="22"/>
      <c r="C93" s="35"/>
      <c r="D93" s="25"/>
      <c r="E93" s="25"/>
      <c r="F93" s="25"/>
      <c r="G93" s="24"/>
      <c r="H93" s="60" t="s">
        <v>410</v>
      </c>
      <c r="I93" s="59"/>
      <c r="J93" s="25"/>
      <c r="K93" s="60"/>
      <c r="L93" s="25"/>
    </row>
    <row r="94" spans="1:12" x14ac:dyDescent="0.35">
      <c r="A94" s="26" t="s">
        <v>161</v>
      </c>
      <c r="B94" s="27" t="s">
        <v>162</v>
      </c>
      <c r="C94" s="36"/>
      <c r="D94" s="28"/>
      <c r="E94" s="28"/>
      <c r="F94" s="28"/>
      <c r="G94" s="28"/>
      <c r="H94" s="59">
        <v>26533</v>
      </c>
      <c r="I94" s="59"/>
      <c r="J94" s="28"/>
      <c r="K94" s="29"/>
      <c r="L94" s="28"/>
    </row>
    <row r="95" spans="1:12" x14ac:dyDescent="0.35">
      <c r="A95" s="26" t="s">
        <v>161</v>
      </c>
      <c r="B95" s="27" t="s">
        <v>163</v>
      </c>
      <c r="C95" s="36"/>
      <c r="D95" s="28"/>
      <c r="E95" s="28"/>
      <c r="F95" s="28"/>
      <c r="G95" s="28"/>
      <c r="H95" s="59">
        <v>27925</v>
      </c>
      <c r="I95" s="59"/>
      <c r="J95" s="28"/>
      <c r="K95" s="29"/>
      <c r="L95" s="28"/>
    </row>
    <row r="96" spans="1:12" x14ac:dyDescent="0.35">
      <c r="A96" s="26" t="s">
        <v>164</v>
      </c>
      <c r="B96" s="27"/>
      <c r="C96" s="36"/>
      <c r="D96" s="28"/>
      <c r="E96" s="28"/>
      <c r="F96" s="28"/>
      <c r="G96" s="28"/>
      <c r="H96" s="60" t="s">
        <v>411</v>
      </c>
      <c r="I96" s="59"/>
      <c r="J96" s="28"/>
      <c r="K96" s="28"/>
      <c r="L96" s="28"/>
    </row>
    <row r="97" spans="1:12" x14ac:dyDescent="0.35">
      <c r="A97" s="32" t="s">
        <v>165</v>
      </c>
      <c r="B97" s="37"/>
      <c r="C97" s="36"/>
      <c r="D97" s="28"/>
      <c r="E97" s="28"/>
      <c r="F97" s="28"/>
      <c r="G97" s="28"/>
      <c r="H97" s="34"/>
      <c r="I97" s="59"/>
      <c r="J97" s="28"/>
      <c r="K97" s="29"/>
      <c r="L97" s="28"/>
    </row>
    <row r="98" spans="1:12" x14ac:dyDescent="0.35">
      <c r="A98" s="225" t="s">
        <v>167</v>
      </c>
      <c r="B98" s="63"/>
      <c r="C98" s="105">
        <f>IFERROR(C95-C94,"")</f>
        <v>0</v>
      </c>
      <c r="D98" s="105">
        <f t="shared" ref="D98:L98" si="24">IFERROR(D95-D94,"")</f>
        <v>0</v>
      </c>
      <c r="E98" s="105">
        <f t="shared" si="24"/>
        <v>0</v>
      </c>
      <c r="F98" s="105">
        <f t="shared" si="24"/>
        <v>0</v>
      </c>
      <c r="G98" s="105">
        <f t="shared" si="24"/>
        <v>0</v>
      </c>
      <c r="H98" s="105">
        <f t="shared" si="24"/>
        <v>1392</v>
      </c>
      <c r="I98" s="105">
        <f t="shared" si="24"/>
        <v>0</v>
      </c>
      <c r="J98" s="105">
        <f t="shared" si="24"/>
        <v>0</v>
      </c>
      <c r="K98" s="105">
        <f t="shared" si="24"/>
        <v>0</v>
      </c>
      <c r="L98" s="105">
        <f t="shared" si="24"/>
        <v>0</v>
      </c>
    </row>
    <row r="99" spans="1:12" ht="15.5" x14ac:dyDescent="0.35">
      <c r="A99" s="65" t="s">
        <v>2</v>
      </c>
      <c r="B99" s="66"/>
      <c r="C99" s="104">
        <f>AVERAGE(C98,C91,C84,C77,C70,C63,C56,C49,C42,C35,C28,C21,C14)</f>
        <v>3119</v>
      </c>
      <c r="D99" s="104">
        <f t="shared" ref="D99:J99" si="25">AVERAGE(D98,D91,D84,D77,D70,D63,D56,D49,D42,D35,D28,D21,D14)</f>
        <v>2531.6153846153848</v>
      </c>
      <c r="E99" s="104">
        <f t="shared" si="25"/>
        <v>0</v>
      </c>
      <c r="F99" s="104">
        <f t="shared" si="25"/>
        <v>2232.5384615384614</v>
      </c>
      <c r="G99" s="104">
        <f t="shared" si="25"/>
        <v>2970.6923076923076</v>
      </c>
      <c r="H99" s="104">
        <f t="shared" si="25"/>
        <v>2301.1538461538462</v>
      </c>
      <c r="I99" s="104">
        <f t="shared" si="25"/>
        <v>2970.6923076923076</v>
      </c>
      <c r="J99" s="104">
        <f t="shared" si="25"/>
        <v>974.15384615384619</v>
      </c>
      <c r="K99" s="104">
        <f t="shared" ref="K99:L99" si="26">AVERAGE(K98,K91,K84,K77,K70,K63,K56,K49,K42,K35,K28)</f>
        <v>2781.2727272727275</v>
      </c>
      <c r="L99" s="104">
        <f t="shared" si="26"/>
        <v>0</v>
      </c>
    </row>
    <row r="100" spans="1:12" x14ac:dyDescent="0.35">
      <c r="A100" s="21" t="s">
        <v>159</v>
      </c>
      <c r="B100" s="22"/>
      <c r="C100" s="35"/>
      <c r="D100" s="25"/>
      <c r="E100" s="25"/>
      <c r="F100" s="25"/>
      <c r="G100" s="24"/>
      <c r="H100" s="60" t="s">
        <v>411</v>
      </c>
      <c r="I100" s="59"/>
      <c r="J100" s="25"/>
      <c r="K100" s="60"/>
      <c r="L100" s="25"/>
    </row>
    <row r="101" spans="1:12" x14ac:dyDescent="0.35">
      <c r="A101" s="26" t="s">
        <v>161</v>
      </c>
      <c r="B101" s="27" t="s">
        <v>162</v>
      </c>
      <c r="C101" s="36"/>
      <c r="D101" s="28"/>
      <c r="E101" s="28"/>
      <c r="F101" s="28"/>
      <c r="G101" s="28"/>
      <c r="H101" s="59">
        <v>27781</v>
      </c>
      <c r="I101" s="59"/>
      <c r="J101" s="28"/>
      <c r="K101" s="29"/>
      <c r="L101" s="28"/>
    </row>
    <row r="102" spans="1:12" x14ac:dyDescent="0.35">
      <c r="A102" s="26" t="s">
        <v>161</v>
      </c>
      <c r="B102" s="27" t="s">
        <v>163</v>
      </c>
      <c r="C102" s="36"/>
      <c r="D102" s="28"/>
      <c r="E102" s="28"/>
      <c r="F102" s="28"/>
      <c r="G102" s="28"/>
      <c r="H102" s="59">
        <v>29023</v>
      </c>
      <c r="I102" s="59"/>
      <c r="J102" s="28"/>
      <c r="K102" s="29"/>
      <c r="L102" s="28"/>
    </row>
    <row r="103" spans="1:12" x14ac:dyDescent="0.35">
      <c r="A103" s="26" t="s">
        <v>164</v>
      </c>
      <c r="B103" s="27"/>
      <c r="C103" s="36"/>
      <c r="D103" s="28"/>
      <c r="E103" s="28"/>
      <c r="F103" s="28"/>
      <c r="G103" s="28"/>
      <c r="H103" s="60" t="s">
        <v>408</v>
      </c>
      <c r="I103" s="59"/>
      <c r="J103" s="28"/>
      <c r="K103" s="28"/>
      <c r="L103" s="28"/>
    </row>
    <row r="104" spans="1:12" x14ac:dyDescent="0.35">
      <c r="A104" s="32" t="s">
        <v>165</v>
      </c>
      <c r="B104" s="37"/>
      <c r="C104" s="36"/>
      <c r="D104" s="28"/>
      <c r="E104" s="28"/>
      <c r="F104" s="28"/>
      <c r="G104" s="28"/>
      <c r="H104" s="34"/>
      <c r="I104" s="59"/>
      <c r="J104" s="28"/>
      <c r="K104" s="29"/>
      <c r="L104" s="28"/>
    </row>
    <row r="105" spans="1:12" x14ac:dyDescent="0.35">
      <c r="A105" s="225" t="s">
        <v>167</v>
      </c>
      <c r="B105" s="63"/>
      <c r="C105" s="105">
        <f>IFERROR(C102-C101,"")</f>
        <v>0</v>
      </c>
      <c r="D105" s="105">
        <f t="shared" ref="D105:L105" si="27">IFERROR(D102-D101,"")</f>
        <v>0</v>
      </c>
      <c r="E105" s="105">
        <f t="shared" si="27"/>
        <v>0</v>
      </c>
      <c r="F105" s="105">
        <f t="shared" si="27"/>
        <v>0</v>
      </c>
      <c r="G105" s="105">
        <f t="shared" si="27"/>
        <v>0</v>
      </c>
      <c r="H105" s="105">
        <f t="shared" si="27"/>
        <v>1242</v>
      </c>
      <c r="I105" s="105">
        <f t="shared" si="27"/>
        <v>0</v>
      </c>
      <c r="J105" s="105">
        <f t="shared" si="27"/>
        <v>0</v>
      </c>
      <c r="K105" s="105">
        <f t="shared" si="27"/>
        <v>0</v>
      </c>
      <c r="L105" s="105">
        <f t="shared" si="27"/>
        <v>0</v>
      </c>
    </row>
    <row r="106" spans="1:12" ht="15.5" x14ac:dyDescent="0.35">
      <c r="A106" s="65" t="s">
        <v>2</v>
      </c>
      <c r="B106" s="66"/>
      <c r="C106" s="104">
        <f>AVERAGE(C105,C98,C91,C84,C77,C70,C63,C56,C49,C42,C35,C28,C21,C14)</f>
        <v>2896.2142857142858</v>
      </c>
      <c r="D106" s="104">
        <f t="shared" ref="D106:J106" si="28">AVERAGE(D105,D98,D91,D84,D77,D70,D63,D56,D49,D42,D35,D28,D21,D14)</f>
        <v>2350.7857142857142</v>
      </c>
      <c r="E106" s="104">
        <f t="shared" si="28"/>
        <v>0</v>
      </c>
      <c r="F106" s="104">
        <f t="shared" si="28"/>
        <v>2073.0714285714284</v>
      </c>
      <c r="G106" s="104">
        <f t="shared" si="28"/>
        <v>2758.5</v>
      </c>
      <c r="H106" s="104">
        <f t="shared" si="28"/>
        <v>2225.5</v>
      </c>
      <c r="I106" s="104">
        <f t="shared" si="28"/>
        <v>2758.5</v>
      </c>
      <c r="J106" s="104">
        <f t="shared" si="28"/>
        <v>904.57142857142856</v>
      </c>
      <c r="K106" s="104">
        <f t="shared" ref="K106:L106" si="29">AVERAGE(K105,K98,K91,K84,K77,K70,K63,K56,K49,K42,K35)</f>
        <v>2359.5454545454545</v>
      </c>
      <c r="L106" s="104">
        <f t="shared" si="29"/>
        <v>0</v>
      </c>
    </row>
    <row r="107" spans="1:12" x14ac:dyDescent="0.35">
      <c r="A107" s="21" t="s">
        <v>159</v>
      </c>
      <c r="B107" s="22"/>
      <c r="C107" s="35"/>
      <c r="D107" s="25"/>
      <c r="E107" s="25"/>
      <c r="F107" s="25"/>
      <c r="G107" s="24"/>
      <c r="H107" s="60" t="s">
        <v>408</v>
      </c>
      <c r="I107" s="59"/>
      <c r="J107" s="25"/>
      <c r="K107" s="60"/>
      <c r="L107" s="25"/>
    </row>
    <row r="108" spans="1:12" x14ac:dyDescent="0.35">
      <c r="A108" s="26" t="s">
        <v>161</v>
      </c>
      <c r="B108" s="27" t="s">
        <v>162</v>
      </c>
      <c r="C108" s="36"/>
      <c r="D108" s="28"/>
      <c r="E108" s="28"/>
      <c r="F108" s="28"/>
      <c r="G108" s="28"/>
      <c r="H108" s="59">
        <v>27925</v>
      </c>
      <c r="I108" s="59"/>
      <c r="J108" s="28"/>
      <c r="K108" s="29"/>
      <c r="L108" s="28"/>
    </row>
    <row r="109" spans="1:12" x14ac:dyDescent="0.35">
      <c r="A109" s="26" t="s">
        <v>161</v>
      </c>
      <c r="B109" s="27" t="s">
        <v>163</v>
      </c>
      <c r="C109" s="36"/>
      <c r="D109" s="28"/>
      <c r="E109" s="28"/>
      <c r="F109" s="28"/>
      <c r="G109" s="28"/>
      <c r="H109" s="59">
        <v>29023</v>
      </c>
      <c r="I109" s="59"/>
      <c r="J109" s="28"/>
      <c r="K109" s="29"/>
      <c r="L109" s="28"/>
    </row>
    <row r="110" spans="1:12" x14ac:dyDescent="0.35">
      <c r="A110" s="26" t="s">
        <v>164</v>
      </c>
      <c r="B110" s="27"/>
      <c r="C110" s="36"/>
      <c r="D110" s="28"/>
      <c r="E110" s="28"/>
      <c r="F110" s="28"/>
      <c r="G110" s="28"/>
      <c r="H110" s="60" t="s">
        <v>265</v>
      </c>
      <c r="I110" s="59"/>
      <c r="J110" s="28"/>
      <c r="K110" s="28"/>
      <c r="L110" s="28"/>
    </row>
    <row r="111" spans="1:12" x14ac:dyDescent="0.35">
      <c r="A111" s="32" t="s">
        <v>165</v>
      </c>
      <c r="B111" s="37"/>
      <c r="C111" s="36"/>
      <c r="D111" s="28"/>
      <c r="E111" s="28"/>
      <c r="F111" s="28"/>
      <c r="G111" s="28"/>
      <c r="H111" s="34"/>
      <c r="I111" s="59"/>
      <c r="J111" s="28"/>
      <c r="K111" s="29"/>
      <c r="L111" s="28"/>
    </row>
    <row r="112" spans="1:12" x14ac:dyDescent="0.35">
      <c r="A112" s="225" t="s">
        <v>167</v>
      </c>
      <c r="B112" s="63"/>
      <c r="C112" s="105">
        <f>IFERROR(C109-C108,"")</f>
        <v>0</v>
      </c>
      <c r="D112" s="105">
        <f t="shared" ref="D112:L112" si="30">IFERROR(D109-D108,"")</f>
        <v>0</v>
      </c>
      <c r="E112" s="105">
        <f t="shared" si="30"/>
        <v>0</v>
      </c>
      <c r="F112" s="105">
        <f t="shared" si="30"/>
        <v>0</v>
      </c>
      <c r="G112" s="105">
        <f t="shared" si="30"/>
        <v>0</v>
      </c>
      <c r="H112" s="105">
        <f t="shared" si="30"/>
        <v>1098</v>
      </c>
      <c r="I112" s="105">
        <f t="shared" si="30"/>
        <v>0</v>
      </c>
      <c r="J112" s="105">
        <f t="shared" si="30"/>
        <v>0</v>
      </c>
      <c r="K112" s="105">
        <f t="shared" si="30"/>
        <v>0</v>
      </c>
      <c r="L112" s="105">
        <f t="shared" si="30"/>
        <v>0</v>
      </c>
    </row>
    <row r="113" spans="1:12" ht="15.5" x14ac:dyDescent="0.35">
      <c r="A113" s="65" t="s">
        <v>2</v>
      </c>
      <c r="B113" s="66"/>
      <c r="C113" s="104">
        <f>AVERAGE(C112,C105,C98,C91,C84,C77,C70,C63,C56,C49,C42,C35,C28,C21,C14)</f>
        <v>2703.1333333333332</v>
      </c>
      <c r="D113" s="104">
        <f t="shared" ref="D113:J113" si="31">AVERAGE(D112,D105,D98,D91,D84,D77,D70,D63,D56,D49,D42,D35,D28,D21,D14)</f>
        <v>2194.0666666666666</v>
      </c>
      <c r="E113" s="104">
        <f t="shared" si="31"/>
        <v>0</v>
      </c>
      <c r="F113" s="104">
        <f t="shared" si="31"/>
        <v>1934.8666666666666</v>
      </c>
      <c r="G113" s="104">
        <f t="shared" si="31"/>
        <v>2574.6</v>
      </c>
      <c r="H113" s="104">
        <f t="shared" si="31"/>
        <v>2150.3333333333335</v>
      </c>
      <c r="I113" s="104">
        <f t="shared" si="31"/>
        <v>2574.6</v>
      </c>
      <c r="J113" s="104">
        <f t="shared" si="31"/>
        <v>844.26666666666665</v>
      </c>
      <c r="K113" s="104">
        <f t="shared" ref="K113:L113" si="32">AVERAGE(K112,K105,K98,K91,K84,K77,K70,K63,K56,K49,K42)</f>
        <v>1836.8181818181818</v>
      </c>
      <c r="L113" s="104">
        <f t="shared" si="32"/>
        <v>0</v>
      </c>
    </row>
    <row r="114" spans="1:12" x14ac:dyDescent="0.35">
      <c r="A114" s="21" t="s">
        <v>159</v>
      </c>
      <c r="B114" s="22"/>
      <c r="C114" s="35"/>
      <c r="D114" s="25"/>
      <c r="E114" s="25"/>
      <c r="F114" s="25"/>
      <c r="G114" s="24"/>
      <c r="H114" s="60" t="s">
        <v>265</v>
      </c>
      <c r="I114" s="59"/>
      <c r="J114" s="25"/>
      <c r="K114" s="60"/>
      <c r="L114" s="25"/>
    </row>
    <row r="115" spans="1:12" x14ac:dyDescent="0.35">
      <c r="A115" s="26" t="s">
        <v>161</v>
      </c>
      <c r="B115" s="27" t="s">
        <v>162</v>
      </c>
      <c r="C115" s="36"/>
      <c r="D115" s="28"/>
      <c r="E115" s="28"/>
      <c r="F115" s="28"/>
      <c r="G115" s="28"/>
      <c r="H115" s="59">
        <v>29023</v>
      </c>
      <c r="I115" s="59"/>
      <c r="J115" s="28"/>
      <c r="K115" s="29"/>
      <c r="L115" s="28"/>
    </row>
    <row r="116" spans="1:12" x14ac:dyDescent="0.35">
      <c r="A116" s="26" t="s">
        <v>161</v>
      </c>
      <c r="B116" s="27" t="s">
        <v>163</v>
      </c>
      <c r="C116" s="36"/>
      <c r="D116" s="28"/>
      <c r="E116" s="28"/>
      <c r="F116" s="28"/>
      <c r="G116" s="28"/>
      <c r="H116" s="59">
        <v>31004</v>
      </c>
      <c r="I116" s="59"/>
      <c r="J116" s="28"/>
      <c r="K116" s="29"/>
      <c r="L116" s="28"/>
    </row>
    <row r="117" spans="1:12" x14ac:dyDescent="0.35">
      <c r="A117" s="26" t="s">
        <v>164</v>
      </c>
      <c r="B117" s="27"/>
      <c r="C117" s="36"/>
      <c r="D117" s="28"/>
      <c r="E117" s="28"/>
      <c r="F117" s="28"/>
      <c r="G117" s="28"/>
      <c r="H117" s="60" t="s">
        <v>281</v>
      </c>
      <c r="I117" s="59"/>
      <c r="J117" s="28"/>
      <c r="K117" s="28"/>
      <c r="L117" s="28"/>
    </row>
    <row r="118" spans="1:12" x14ac:dyDescent="0.35">
      <c r="A118" s="32" t="s">
        <v>165</v>
      </c>
      <c r="B118" s="37"/>
      <c r="C118" s="36"/>
      <c r="D118" s="28"/>
      <c r="E118" s="28"/>
      <c r="F118" s="28"/>
      <c r="G118" s="28"/>
      <c r="H118" s="34"/>
      <c r="I118" s="59"/>
      <c r="J118" s="28"/>
      <c r="K118" s="29"/>
      <c r="L118" s="28"/>
    </row>
    <row r="119" spans="1:12" x14ac:dyDescent="0.35">
      <c r="A119" s="225" t="s">
        <v>167</v>
      </c>
      <c r="B119" s="63"/>
      <c r="C119" s="105">
        <f>IFERROR(C116-C115,"")</f>
        <v>0</v>
      </c>
      <c r="D119" s="105">
        <f t="shared" ref="D119:L119" si="33">IFERROR(D116-D115,"")</f>
        <v>0</v>
      </c>
      <c r="E119" s="105">
        <f t="shared" si="33"/>
        <v>0</v>
      </c>
      <c r="F119" s="105">
        <f t="shared" si="33"/>
        <v>0</v>
      </c>
      <c r="G119" s="105">
        <f t="shared" si="33"/>
        <v>0</v>
      </c>
      <c r="H119" s="105">
        <f t="shared" si="33"/>
        <v>1981</v>
      </c>
      <c r="I119" s="105">
        <f t="shared" si="33"/>
        <v>0</v>
      </c>
      <c r="J119" s="105">
        <f t="shared" si="33"/>
        <v>0</v>
      </c>
      <c r="K119" s="105">
        <f t="shared" si="33"/>
        <v>0</v>
      </c>
      <c r="L119" s="105">
        <f t="shared" si="33"/>
        <v>0</v>
      </c>
    </row>
    <row r="120" spans="1:12" ht="15.5" x14ac:dyDescent="0.35">
      <c r="A120" s="65" t="s">
        <v>2</v>
      </c>
      <c r="B120" s="66"/>
      <c r="C120" s="104">
        <f>AVERAGE(C119,C112,C105,C98,C91,C84,C77,C70,C63,C56,C49,C42,C35,C28,C21,C14)</f>
        <v>2534.1875</v>
      </c>
      <c r="D120" s="104">
        <f t="shared" ref="D120:J120" si="34">AVERAGE(D119,D112,D105,D98,D91,D84,D77,D70,D63,D56,D49,D42,D35,D28,D21,D14)</f>
        <v>2056.9375</v>
      </c>
      <c r="E120" s="104">
        <f t="shared" si="34"/>
        <v>0</v>
      </c>
      <c r="F120" s="104">
        <f t="shared" si="34"/>
        <v>1813.9375</v>
      </c>
      <c r="G120" s="104">
        <f t="shared" si="34"/>
        <v>2413.6875</v>
      </c>
      <c r="H120" s="104">
        <f t="shared" si="34"/>
        <v>2139.75</v>
      </c>
      <c r="I120" s="104">
        <f t="shared" si="34"/>
        <v>2413.6875</v>
      </c>
      <c r="J120" s="104">
        <f t="shared" si="34"/>
        <v>791.5</v>
      </c>
      <c r="K120" s="104">
        <f t="shared" ref="K120:L120" si="35">AVERAGE(K119,K112,K105,K98,K91,K84,K77,K70,K63,K56,K49)</f>
        <v>1204.8181818181818</v>
      </c>
      <c r="L120" s="104">
        <f t="shared" si="35"/>
        <v>0</v>
      </c>
    </row>
    <row r="121" spans="1:12" x14ac:dyDescent="0.35">
      <c r="A121" s="21" t="s">
        <v>159</v>
      </c>
      <c r="B121" s="22"/>
      <c r="C121" s="35"/>
      <c r="D121" s="25"/>
      <c r="E121" s="25"/>
      <c r="F121" s="25"/>
      <c r="G121" s="24"/>
      <c r="H121" s="60" t="s">
        <v>281</v>
      </c>
      <c r="I121" s="59"/>
      <c r="J121" s="25"/>
      <c r="K121" s="60"/>
      <c r="L121" s="25"/>
    </row>
    <row r="122" spans="1:12" x14ac:dyDescent="0.35">
      <c r="A122" s="26" t="s">
        <v>161</v>
      </c>
      <c r="B122" s="27" t="s">
        <v>162</v>
      </c>
      <c r="C122" s="36"/>
      <c r="D122" s="28"/>
      <c r="E122" s="28"/>
      <c r="F122" s="28"/>
      <c r="G122" s="28"/>
      <c r="H122" s="59">
        <v>29023</v>
      </c>
      <c r="I122" s="59"/>
      <c r="J122" s="28"/>
      <c r="K122" s="29"/>
      <c r="L122" s="28"/>
    </row>
    <row r="123" spans="1:12" x14ac:dyDescent="0.35">
      <c r="A123" s="26" t="s">
        <v>161</v>
      </c>
      <c r="B123" s="27" t="s">
        <v>163</v>
      </c>
      <c r="C123" s="36"/>
      <c r="D123" s="28"/>
      <c r="E123" s="28"/>
      <c r="F123" s="28"/>
      <c r="G123" s="28"/>
      <c r="H123" s="59">
        <v>36026</v>
      </c>
      <c r="I123" s="59"/>
      <c r="J123" s="28"/>
      <c r="K123" s="29"/>
      <c r="L123" s="28"/>
    </row>
    <row r="124" spans="1:12" x14ac:dyDescent="0.35">
      <c r="A124" s="26" t="s">
        <v>164</v>
      </c>
      <c r="B124" s="27"/>
      <c r="C124" s="36"/>
      <c r="D124" s="28"/>
      <c r="E124" s="28"/>
      <c r="F124" s="28"/>
      <c r="G124" s="28"/>
      <c r="H124" s="60" t="s">
        <v>242</v>
      </c>
      <c r="I124" s="59"/>
      <c r="J124" s="28"/>
      <c r="K124" s="28"/>
      <c r="L124" s="28"/>
    </row>
    <row r="125" spans="1:12" x14ac:dyDescent="0.35">
      <c r="A125" s="32" t="s">
        <v>165</v>
      </c>
      <c r="B125" s="37"/>
      <c r="C125" s="36"/>
      <c r="D125" s="28"/>
      <c r="E125" s="28"/>
      <c r="F125" s="28"/>
      <c r="G125" s="28"/>
      <c r="H125" s="34"/>
      <c r="I125" s="59"/>
      <c r="J125" s="28"/>
      <c r="K125" s="29"/>
      <c r="L125" s="28"/>
    </row>
    <row r="126" spans="1:12" x14ac:dyDescent="0.35">
      <c r="A126" s="225" t="s">
        <v>167</v>
      </c>
      <c r="B126" s="63"/>
      <c r="C126" s="105">
        <f>IFERROR(C123-C122,"")</f>
        <v>0</v>
      </c>
      <c r="D126" s="105">
        <f t="shared" ref="D126:L126" si="36">IFERROR(D123-D122,"")</f>
        <v>0</v>
      </c>
      <c r="E126" s="105">
        <f t="shared" si="36"/>
        <v>0</v>
      </c>
      <c r="F126" s="105">
        <f t="shared" si="36"/>
        <v>0</v>
      </c>
      <c r="G126" s="105">
        <f t="shared" si="36"/>
        <v>0</v>
      </c>
      <c r="H126" s="105">
        <f t="shared" si="36"/>
        <v>7003</v>
      </c>
      <c r="I126" s="105">
        <f t="shared" si="36"/>
        <v>0</v>
      </c>
      <c r="J126" s="105">
        <f t="shared" si="36"/>
        <v>0</v>
      </c>
      <c r="K126" s="105">
        <f t="shared" si="36"/>
        <v>0</v>
      </c>
      <c r="L126" s="105">
        <f t="shared" si="36"/>
        <v>0</v>
      </c>
    </row>
    <row r="127" spans="1:12" ht="15.5" x14ac:dyDescent="0.35">
      <c r="A127" s="65" t="s">
        <v>2</v>
      </c>
      <c r="B127" s="66"/>
      <c r="C127" s="104">
        <f>AVERAGE(C126,C119,C112,C105,C98,C91,C84,C77,C70,C63,C56,C49,C42,C35,C28,C21,C14)</f>
        <v>2385.1176470588234</v>
      </c>
      <c r="D127" s="104">
        <f t="shared" ref="D127:J127" si="37">AVERAGE(D126,D119,D112,D105,D98,D91,D84,D77,D70,D63,D56,D49,D42,D35,D28,D21,D14)</f>
        <v>1935.9411764705883</v>
      </c>
      <c r="E127" s="104">
        <f t="shared" si="37"/>
        <v>0</v>
      </c>
      <c r="F127" s="104">
        <f t="shared" si="37"/>
        <v>1707.2352941176471</v>
      </c>
      <c r="G127" s="104">
        <f t="shared" si="37"/>
        <v>2271.705882352941</v>
      </c>
      <c r="H127" s="104">
        <f t="shared" si="37"/>
        <v>2425.8235294117649</v>
      </c>
      <c r="I127" s="104">
        <f t="shared" si="37"/>
        <v>2271.705882352941</v>
      </c>
      <c r="J127" s="104">
        <f t="shared" si="37"/>
        <v>744.94117647058829</v>
      </c>
      <c r="K127" s="104">
        <f t="shared" ref="K127:L127" si="38">AVERAGE(K126,K119,K112,K105,K98,K91,K84,K77,K70,K63,K56)</f>
        <v>872.36363636363637</v>
      </c>
      <c r="L127" s="104">
        <f t="shared" si="38"/>
        <v>0</v>
      </c>
    </row>
    <row r="128" spans="1:12" x14ac:dyDescent="0.35">
      <c r="A128" s="21" t="s">
        <v>159</v>
      </c>
      <c r="B128" s="22"/>
      <c r="C128" s="35"/>
      <c r="D128" s="25"/>
      <c r="E128" s="25"/>
      <c r="F128" s="25"/>
      <c r="G128" s="24"/>
      <c r="H128" s="60" t="s">
        <v>242</v>
      </c>
      <c r="I128" s="59"/>
      <c r="J128" s="25"/>
      <c r="K128" s="60"/>
      <c r="L128" s="25"/>
    </row>
    <row r="129" spans="1:12" x14ac:dyDescent="0.35">
      <c r="A129" s="26" t="s">
        <v>161</v>
      </c>
      <c r="B129" s="27" t="s">
        <v>162</v>
      </c>
      <c r="C129" s="36"/>
      <c r="D129" s="28"/>
      <c r="E129" s="28"/>
      <c r="F129" s="28"/>
      <c r="G129" s="28"/>
      <c r="H129" s="59">
        <v>31004</v>
      </c>
      <c r="I129" s="59"/>
      <c r="J129" s="28"/>
      <c r="K129" s="29"/>
      <c r="L129" s="28"/>
    </row>
    <row r="130" spans="1:12" x14ac:dyDescent="0.35">
      <c r="A130" s="26" t="s">
        <v>161</v>
      </c>
      <c r="B130" s="27" t="s">
        <v>163</v>
      </c>
      <c r="C130" s="36"/>
      <c r="D130" s="28"/>
      <c r="E130" s="28"/>
      <c r="F130" s="28"/>
      <c r="G130" s="28"/>
      <c r="H130" s="59">
        <v>38619</v>
      </c>
      <c r="I130" s="59"/>
      <c r="J130" s="28"/>
      <c r="K130" s="29"/>
      <c r="L130" s="28"/>
    </row>
    <row r="131" spans="1:12" x14ac:dyDescent="0.35">
      <c r="A131" s="26" t="s">
        <v>164</v>
      </c>
      <c r="B131" s="27"/>
      <c r="C131" s="36"/>
      <c r="D131" s="28"/>
      <c r="E131" s="28"/>
      <c r="F131" s="28"/>
      <c r="G131" s="28"/>
      <c r="H131" s="60" t="s">
        <v>243</v>
      </c>
      <c r="I131" s="59"/>
      <c r="J131" s="28"/>
      <c r="K131" s="28"/>
      <c r="L131" s="28"/>
    </row>
    <row r="132" spans="1:12" x14ac:dyDescent="0.35">
      <c r="A132" s="32" t="s">
        <v>165</v>
      </c>
      <c r="B132" s="37"/>
      <c r="C132" s="36"/>
      <c r="D132" s="28"/>
      <c r="E132" s="28"/>
      <c r="F132" s="28"/>
      <c r="G132" s="28"/>
      <c r="H132" s="34"/>
      <c r="I132" s="59"/>
      <c r="J132" s="28"/>
      <c r="K132" s="29"/>
      <c r="L132" s="28"/>
    </row>
    <row r="133" spans="1:12" x14ac:dyDescent="0.35">
      <c r="A133" s="225" t="s">
        <v>167</v>
      </c>
      <c r="B133" s="63"/>
      <c r="C133" s="105">
        <f>IFERROR(C130-C129,"")</f>
        <v>0</v>
      </c>
      <c r="D133" s="105">
        <f t="shared" ref="D133:L133" si="39">IFERROR(D130-D129,"")</f>
        <v>0</v>
      </c>
      <c r="E133" s="105">
        <f t="shared" si="39"/>
        <v>0</v>
      </c>
      <c r="F133" s="105">
        <f t="shared" si="39"/>
        <v>0</v>
      </c>
      <c r="G133" s="105">
        <f t="shared" si="39"/>
        <v>0</v>
      </c>
      <c r="H133" s="105">
        <f t="shared" si="39"/>
        <v>7615</v>
      </c>
      <c r="I133" s="105">
        <f t="shared" si="39"/>
        <v>0</v>
      </c>
      <c r="J133" s="105">
        <f t="shared" si="39"/>
        <v>0</v>
      </c>
      <c r="K133" s="105">
        <f t="shared" si="39"/>
        <v>0</v>
      </c>
      <c r="L133" s="105">
        <f t="shared" si="39"/>
        <v>0</v>
      </c>
    </row>
    <row r="134" spans="1:12" ht="15.5" x14ac:dyDescent="0.35">
      <c r="A134" s="65" t="s">
        <v>2</v>
      </c>
      <c r="B134" s="66"/>
      <c r="C134" s="104">
        <f>AVERAGE(C133,C126,C119,C112,C105,C98,C91,C84,C77,C70,C63,C56,C49,C42,C35,C28,C21,C14)</f>
        <v>2252.6111111111113</v>
      </c>
      <c r="D134" s="104">
        <f t="shared" ref="D134:J134" si="40">AVERAGE(D133,D126,D119,D112,D105,D98,D91,D84,D77,D70,D63,D56,D49,D42,D35,D28,D21,D14)</f>
        <v>1828.3888888888889</v>
      </c>
      <c r="E134" s="104">
        <f t="shared" si="40"/>
        <v>0</v>
      </c>
      <c r="F134" s="104">
        <f t="shared" si="40"/>
        <v>1612.3888888888889</v>
      </c>
      <c r="G134" s="104">
        <f t="shared" si="40"/>
        <v>2145.5</v>
      </c>
      <c r="H134" s="104">
        <f t="shared" si="40"/>
        <v>2714.1111111111113</v>
      </c>
      <c r="I134" s="104">
        <f t="shared" si="40"/>
        <v>2145.5</v>
      </c>
      <c r="J134" s="104">
        <f t="shared" si="40"/>
        <v>703.55555555555554</v>
      </c>
      <c r="K134" s="104">
        <f t="shared" ref="K134:L134" si="41">AVERAGE(K133,K126,K119,K112,K105,K98,K91,K84,K77,K70,K63)</f>
        <v>355.72727272727275</v>
      </c>
      <c r="L134" s="104">
        <f t="shared" si="41"/>
        <v>0</v>
      </c>
    </row>
  </sheetData>
  <sheetProtection algorithmName="SHA-512" hashValue="rj4s+2Rg3ZnX36Kul18Gh64xE+IV/CsH88doJf/vEgQ/DJ8DXDZg1GPXLk7k9LO9TSJdCHktdNV3r2xqfkickA==" saltValue="l6SiCVRdWVxanWHnDLogig==" spinCount="100000" sheet="1" objects="1" scenarios="1"/>
  <autoFilter ref="A2:L85" xr:uid="{00000000-0009-0000-0000-000012000000}"/>
  <mergeCells count="2">
    <mergeCell ref="A7:B7"/>
    <mergeCell ref="A8:B8"/>
  </mergeCells>
  <conditionalFormatting sqref="L36 J36 E36">
    <cfRule type="expression" dxfId="787" priority="89">
      <formula>E36&lt;E39</formula>
    </cfRule>
    <cfRule type="expression" dxfId="786" priority="90">
      <formula>E36&gt;E39</formula>
    </cfRule>
  </conditionalFormatting>
  <conditionalFormatting sqref="L43 D43:G43">
    <cfRule type="expression" dxfId="785" priority="85">
      <formula>D43&lt;D47</formula>
    </cfRule>
    <cfRule type="expression" dxfId="784" priority="86">
      <formula>D43&gt;D47</formula>
    </cfRule>
  </conditionalFormatting>
  <conditionalFormatting sqref="L50 J50 D50:G50">
    <cfRule type="expression" dxfId="783" priority="81">
      <formula>D50&lt;D54</formula>
    </cfRule>
    <cfRule type="expression" dxfId="782" priority="82">
      <formula>D50&gt;D54</formula>
    </cfRule>
  </conditionalFormatting>
  <conditionalFormatting sqref="K50">
    <cfRule type="expression" dxfId="781" priority="77">
      <formula>K50&lt;K54</formula>
    </cfRule>
    <cfRule type="expression" dxfId="780" priority="78">
      <formula>K50&gt;K54</formula>
    </cfRule>
  </conditionalFormatting>
  <conditionalFormatting sqref="I36">
    <cfRule type="expression" dxfId="779" priority="91">
      <formula>I36&lt;I48</formula>
    </cfRule>
    <cfRule type="expression" dxfId="778" priority="92">
      <formula>I36&gt;I48</formula>
    </cfRule>
  </conditionalFormatting>
  <conditionalFormatting sqref="L57 J57 D57:G57">
    <cfRule type="expression" dxfId="777" priority="75">
      <formula>D57&lt;D61</formula>
    </cfRule>
    <cfRule type="expression" dxfId="776" priority="76">
      <formula>D57&gt;D61</formula>
    </cfRule>
  </conditionalFormatting>
  <conditionalFormatting sqref="K57">
    <cfRule type="expression" dxfId="775" priority="71">
      <formula>K57&lt;K61</formula>
    </cfRule>
    <cfRule type="expression" dxfId="774" priority="72">
      <formula>K57&gt;K61</formula>
    </cfRule>
  </conditionalFormatting>
  <conditionalFormatting sqref="D64:G64">
    <cfRule type="expression" dxfId="773" priority="69">
      <formula>D64&lt;D68</formula>
    </cfRule>
    <cfRule type="expression" dxfId="772" priority="70">
      <formula>D64&gt;D68</formula>
    </cfRule>
  </conditionalFormatting>
  <conditionalFormatting sqref="D71:G71">
    <cfRule type="expression" dxfId="771" priority="63">
      <formula>D71&lt;D75</formula>
    </cfRule>
    <cfRule type="expression" dxfId="770" priority="64">
      <formula>D71&gt;D75</formula>
    </cfRule>
  </conditionalFormatting>
  <conditionalFormatting sqref="L78 J78 D78:G78">
    <cfRule type="expression" dxfId="769" priority="57">
      <formula>D78&lt;D82</formula>
    </cfRule>
    <cfRule type="expression" dxfId="768" priority="58">
      <formula>D78&gt;D82</formula>
    </cfRule>
  </conditionalFormatting>
  <conditionalFormatting sqref="K78">
    <cfRule type="expression" dxfId="767" priority="53">
      <formula>K78&lt;K82</formula>
    </cfRule>
    <cfRule type="expression" dxfId="766" priority="54">
      <formula>K78&gt;K82</formula>
    </cfRule>
  </conditionalFormatting>
  <conditionalFormatting sqref="L85 J85 D85:G85">
    <cfRule type="expression" dxfId="765" priority="51">
      <formula>D85&lt;D89</formula>
    </cfRule>
    <cfRule type="expression" dxfId="764" priority="52">
      <formula>D85&gt;D89</formula>
    </cfRule>
  </conditionalFormatting>
  <conditionalFormatting sqref="K85">
    <cfRule type="expression" dxfId="763" priority="47">
      <formula>K85&lt;K89</formula>
    </cfRule>
    <cfRule type="expression" dxfId="762" priority="48">
      <formula>K85&gt;K89</formula>
    </cfRule>
  </conditionalFormatting>
  <conditionalFormatting sqref="L92 J92 D92:G92">
    <cfRule type="expression" dxfId="761" priority="27">
      <formula>D92&lt;D96</formula>
    </cfRule>
    <cfRule type="expression" dxfId="760" priority="28">
      <formula>D92&gt;D96</formula>
    </cfRule>
  </conditionalFormatting>
  <conditionalFormatting sqref="K92">
    <cfRule type="expression" dxfId="759" priority="25">
      <formula>K92&lt;K96</formula>
    </cfRule>
    <cfRule type="expression" dxfId="758" priority="26">
      <formula>K92&gt;K96</formula>
    </cfRule>
  </conditionalFormatting>
  <conditionalFormatting sqref="L99 J99 D99:G99">
    <cfRule type="expression" dxfId="757" priority="23">
      <formula>D99&lt;D103</formula>
    </cfRule>
    <cfRule type="expression" dxfId="756" priority="24">
      <formula>D99&gt;D103</formula>
    </cfRule>
  </conditionalFormatting>
  <conditionalFormatting sqref="K99">
    <cfRule type="expression" dxfId="755" priority="21">
      <formula>K99&lt;K103</formula>
    </cfRule>
    <cfRule type="expression" dxfId="754" priority="22">
      <formula>K99&gt;K103</formula>
    </cfRule>
  </conditionalFormatting>
  <conditionalFormatting sqref="L106 J106 D106:G106">
    <cfRule type="expression" dxfId="753" priority="19">
      <formula>D106&lt;D110</formula>
    </cfRule>
    <cfRule type="expression" dxfId="752" priority="20">
      <formula>D106&gt;D110</formula>
    </cfRule>
  </conditionalFormatting>
  <conditionalFormatting sqref="K106">
    <cfRule type="expression" dxfId="751" priority="17">
      <formula>K106&lt;K110</formula>
    </cfRule>
    <cfRule type="expression" dxfId="750" priority="18">
      <formula>K106&gt;K110</formula>
    </cfRule>
  </conditionalFormatting>
  <conditionalFormatting sqref="L113 J113 D113:G113">
    <cfRule type="expression" dxfId="749" priority="15">
      <formula>D113&lt;D117</formula>
    </cfRule>
    <cfRule type="expression" dxfId="748" priority="16">
      <formula>D113&gt;D117</formula>
    </cfRule>
  </conditionalFormatting>
  <conditionalFormatting sqref="K113">
    <cfRule type="expression" dxfId="747" priority="13">
      <formula>K113&lt;K117</formula>
    </cfRule>
    <cfRule type="expression" dxfId="746" priority="14">
      <formula>K113&gt;K117</formula>
    </cfRule>
  </conditionalFormatting>
  <conditionalFormatting sqref="L120 J120 D120:G120">
    <cfRule type="expression" dxfId="745" priority="11">
      <formula>D120&lt;D124</formula>
    </cfRule>
    <cfRule type="expression" dxfId="744" priority="12">
      <formula>D120&gt;D124</formula>
    </cfRule>
  </conditionalFormatting>
  <conditionalFormatting sqref="K120">
    <cfRule type="expression" dxfId="743" priority="9">
      <formula>K120&lt;K124</formula>
    </cfRule>
    <cfRule type="expression" dxfId="742" priority="10">
      <formula>K120&gt;K124</formula>
    </cfRule>
  </conditionalFormatting>
  <conditionalFormatting sqref="D36 F36:G36">
    <cfRule type="expression" dxfId="741" priority="569">
      <formula>D36&lt;D39</formula>
    </cfRule>
    <cfRule type="expression" dxfId="740" priority="570">
      <formula>D36&gt;#REF!</formula>
    </cfRule>
  </conditionalFormatting>
  <conditionalFormatting sqref="L127 J127 D127:G127">
    <cfRule type="expression" dxfId="739" priority="7">
      <formula>D127&lt;D131</formula>
    </cfRule>
    <cfRule type="expression" dxfId="738" priority="8">
      <formula>D127&gt;D131</formula>
    </cfRule>
  </conditionalFormatting>
  <conditionalFormatting sqref="K127">
    <cfRule type="expression" dxfId="737" priority="5">
      <formula>K127&lt;K131</formula>
    </cfRule>
    <cfRule type="expression" dxfId="736" priority="6">
      <formula>K127&gt;K131</formula>
    </cfRule>
  </conditionalFormatting>
  <conditionalFormatting sqref="L134 J134 D134:G134">
    <cfRule type="expression" dxfId="735" priority="3">
      <formula>D134&lt;D138</formula>
    </cfRule>
    <cfRule type="expression" dxfId="734" priority="4">
      <formula>D134&gt;D138</formula>
    </cfRule>
  </conditionalFormatting>
  <conditionalFormatting sqref="K134">
    <cfRule type="expression" dxfId="733" priority="1">
      <formula>K134&lt;K138</formula>
    </cfRule>
    <cfRule type="expression" dxfId="732" priority="2">
      <formula>K134&gt;K138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"/>
  <dimension ref="A1:L127"/>
  <sheetViews>
    <sheetView zoomScale="90" zoomScaleNormal="90" workbookViewId="0">
      <pane xSplit="2" ySplit="8" topLeftCell="C9" activePane="bottomRight" state="frozen"/>
      <selection pane="topRight" activeCell="E19" sqref="E19"/>
      <selection pane="bottomLeft" activeCell="E19" sqref="E19"/>
      <selection pane="bottomRight" activeCell="E27" sqref="E27"/>
    </sheetView>
  </sheetViews>
  <sheetFormatPr defaultColWidth="8.81640625" defaultRowHeight="14.5" x14ac:dyDescent="0.35"/>
  <cols>
    <col min="1" max="1" width="16.1796875" style="1" customWidth="1"/>
    <col min="2" max="2" width="6.1796875" style="1" customWidth="1"/>
    <col min="3" max="4" width="21.54296875" style="1" bestFit="1" customWidth="1"/>
    <col min="5" max="5" width="17.1796875" style="1" customWidth="1"/>
    <col min="6" max="6" width="16.54296875" style="1" customWidth="1"/>
    <col min="7" max="7" width="19.453125" style="1" customWidth="1"/>
    <col min="8" max="8" width="22.1796875" style="190" customWidth="1"/>
    <col min="9" max="9" width="21.81640625" style="190" customWidth="1"/>
    <col min="10" max="15" width="17.1796875" style="1" bestFit="1" customWidth="1"/>
    <col min="16" max="16" width="19.453125" style="1" customWidth="1"/>
    <col min="17" max="17" width="17.1796875" style="1" bestFit="1" customWidth="1"/>
    <col min="18" max="19" width="18.54296875" style="1" customWidth="1"/>
    <col min="20" max="20" width="17.1796875" style="1" bestFit="1" customWidth="1"/>
    <col min="21" max="21" width="15.1796875" style="1" bestFit="1" customWidth="1"/>
    <col min="22" max="16384" width="8.81640625" style="1"/>
  </cols>
  <sheetData>
    <row r="1" spans="1:12" ht="24" thickBot="1" x14ac:dyDescent="0.4">
      <c r="A1" s="99"/>
      <c r="C1" s="99"/>
    </row>
    <row r="2" spans="1:12" x14ac:dyDescent="0.35">
      <c r="E2" s="2" t="s">
        <v>412</v>
      </c>
      <c r="F2" s="3"/>
      <c r="G2" s="3" t="s">
        <v>104</v>
      </c>
      <c r="H2" s="203"/>
      <c r="I2" s="207"/>
    </row>
    <row r="3" spans="1:12" x14ac:dyDescent="0.35">
      <c r="E3" s="5"/>
      <c r="F3" s="6" t="s">
        <v>106</v>
      </c>
      <c r="G3" s="7" t="s">
        <v>275</v>
      </c>
      <c r="H3" s="204"/>
      <c r="I3" s="208"/>
    </row>
    <row r="4" spans="1:12" ht="15" thickBot="1" x14ac:dyDescent="0.4">
      <c r="A4" s="1" t="s">
        <v>168</v>
      </c>
      <c r="B4" s="1" t="s">
        <v>169</v>
      </c>
      <c r="E4" s="9"/>
      <c r="F4" s="10" t="s">
        <v>276</v>
      </c>
      <c r="G4" s="11"/>
      <c r="H4" s="205" t="s">
        <v>112</v>
      </c>
      <c r="I4" s="209"/>
    </row>
    <row r="5" spans="1:12" ht="24" customHeight="1" x14ac:dyDescent="0.35">
      <c r="A5" s="76" t="s">
        <v>56</v>
      </c>
      <c r="B5" s="1" t="s">
        <v>413</v>
      </c>
    </row>
    <row r="6" spans="1:12" ht="28.4" customHeight="1" x14ac:dyDescent="0.35">
      <c r="A6" s="14" t="s">
        <v>200</v>
      </c>
      <c r="B6" s="93"/>
      <c r="C6" s="52" t="s">
        <v>57</v>
      </c>
      <c r="D6" s="52" t="s">
        <v>58</v>
      </c>
      <c r="E6" s="100" t="s">
        <v>59</v>
      </c>
      <c r="F6" s="52" t="s">
        <v>60</v>
      </c>
      <c r="G6" s="52" t="s">
        <v>61</v>
      </c>
      <c r="H6" s="191" t="s">
        <v>62</v>
      </c>
      <c r="I6" s="202" t="s">
        <v>63</v>
      </c>
      <c r="J6" s="14" t="s">
        <v>64</v>
      </c>
      <c r="K6" s="14" t="s">
        <v>65</v>
      </c>
      <c r="L6" s="14" t="s">
        <v>66</v>
      </c>
    </row>
    <row r="7" spans="1:12" ht="14.15" customHeight="1" x14ac:dyDescent="0.35">
      <c r="A7" s="256" t="s">
        <v>137</v>
      </c>
      <c r="B7" s="256"/>
      <c r="C7" s="17" t="s">
        <v>140</v>
      </c>
      <c r="D7" s="18" t="s">
        <v>138</v>
      </c>
      <c r="E7" s="17" t="s">
        <v>144</v>
      </c>
      <c r="F7" s="17" t="s">
        <v>148</v>
      </c>
      <c r="G7" s="17" t="s">
        <v>149</v>
      </c>
      <c r="H7" s="17" t="s">
        <v>150</v>
      </c>
      <c r="I7" s="17" t="s">
        <v>151</v>
      </c>
      <c r="J7" s="17" t="s">
        <v>154</v>
      </c>
      <c r="K7" s="17" t="s">
        <v>157</v>
      </c>
      <c r="L7" s="17" t="s">
        <v>405</v>
      </c>
    </row>
    <row r="8" spans="1:12" x14ac:dyDescent="0.35">
      <c r="A8" s="257" t="s">
        <v>158</v>
      </c>
      <c r="B8" s="257"/>
      <c r="C8" s="19">
        <v>1</v>
      </c>
      <c r="D8" s="19">
        <v>1</v>
      </c>
      <c r="E8" s="19">
        <v>1</v>
      </c>
      <c r="F8" s="19">
        <v>1</v>
      </c>
      <c r="G8" s="19">
        <v>1</v>
      </c>
      <c r="H8" s="20">
        <v>1</v>
      </c>
      <c r="I8" s="20">
        <v>1</v>
      </c>
      <c r="J8" s="19">
        <v>1</v>
      </c>
      <c r="K8" s="19">
        <v>1</v>
      </c>
      <c r="L8" s="19">
        <v>1</v>
      </c>
    </row>
    <row r="9" spans="1:12" x14ac:dyDescent="0.35">
      <c r="A9" s="21" t="s">
        <v>159</v>
      </c>
      <c r="B9" s="22"/>
      <c r="C9" s="77" t="s">
        <v>225</v>
      </c>
      <c r="D9" s="77" t="s">
        <v>225</v>
      </c>
      <c r="E9" s="77" t="s">
        <v>225</v>
      </c>
      <c r="F9" s="24"/>
      <c r="G9" s="77" t="s">
        <v>225</v>
      </c>
      <c r="H9" s="77" t="s">
        <v>160</v>
      </c>
      <c r="I9" s="77" t="s">
        <v>160</v>
      </c>
      <c r="J9" s="77" t="s">
        <v>160</v>
      </c>
      <c r="K9" s="24"/>
      <c r="L9" s="24"/>
    </row>
    <row r="10" spans="1:12" x14ac:dyDescent="0.35">
      <c r="A10" s="26" t="s">
        <v>161</v>
      </c>
      <c r="B10" s="27" t="s">
        <v>162</v>
      </c>
      <c r="C10" s="59">
        <v>0</v>
      </c>
      <c r="D10" s="59">
        <v>0</v>
      </c>
      <c r="E10" s="59">
        <v>0</v>
      </c>
      <c r="F10" s="28"/>
      <c r="G10" s="59">
        <v>0</v>
      </c>
      <c r="H10" s="59">
        <v>0</v>
      </c>
      <c r="I10" s="59">
        <v>0</v>
      </c>
      <c r="J10" s="59">
        <v>0</v>
      </c>
      <c r="K10" s="28"/>
      <c r="L10" s="28"/>
    </row>
    <row r="11" spans="1:12" x14ac:dyDescent="0.35">
      <c r="A11" s="26" t="s">
        <v>161</v>
      </c>
      <c r="B11" s="27" t="s">
        <v>163</v>
      </c>
      <c r="C11" s="59">
        <v>11650</v>
      </c>
      <c r="D11" s="59">
        <v>11650</v>
      </c>
      <c r="E11" s="59">
        <v>11650</v>
      </c>
      <c r="F11" s="28"/>
      <c r="G11" s="75">
        <v>15032</v>
      </c>
      <c r="H11" s="59">
        <v>9439</v>
      </c>
      <c r="I11" s="59">
        <v>4442</v>
      </c>
      <c r="J11" s="75">
        <v>15032</v>
      </c>
      <c r="K11" s="28"/>
      <c r="L11" s="28">
        <v>28034</v>
      </c>
    </row>
    <row r="12" spans="1:12" x14ac:dyDescent="0.35">
      <c r="A12" s="26" t="s">
        <v>164</v>
      </c>
      <c r="B12" s="27"/>
      <c r="C12" s="58">
        <v>43191</v>
      </c>
      <c r="D12" s="60">
        <v>43191</v>
      </c>
      <c r="E12" s="60">
        <v>43191</v>
      </c>
      <c r="F12" s="28"/>
      <c r="G12" s="78">
        <v>43351</v>
      </c>
      <c r="H12" s="60">
        <v>43085</v>
      </c>
      <c r="I12" s="60">
        <v>42862</v>
      </c>
      <c r="J12" s="78">
        <v>43351</v>
      </c>
      <c r="K12" s="28"/>
      <c r="L12" s="28" t="s">
        <v>414</v>
      </c>
    </row>
    <row r="13" spans="1:12" ht="29" x14ac:dyDescent="0.35">
      <c r="A13" s="32" t="s">
        <v>165</v>
      </c>
      <c r="B13" s="33"/>
      <c r="C13" s="34" t="s">
        <v>166</v>
      </c>
      <c r="D13" s="34" t="s">
        <v>166</v>
      </c>
      <c r="E13" s="34" t="s">
        <v>166</v>
      </c>
      <c r="F13" s="28"/>
      <c r="G13" s="34" t="s">
        <v>166</v>
      </c>
      <c r="H13" s="34" t="s">
        <v>166</v>
      </c>
      <c r="I13" s="34" t="s">
        <v>166</v>
      </c>
      <c r="J13" s="34" t="s">
        <v>166</v>
      </c>
      <c r="K13" s="28"/>
      <c r="L13" s="28" t="s">
        <v>264</v>
      </c>
    </row>
    <row r="14" spans="1:12" x14ac:dyDescent="0.35">
      <c r="A14" s="225" t="s">
        <v>167</v>
      </c>
      <c r="B14" s="63"/>
      <c r="C14" s="105">
        <f>IFERROR(C11-C10,"")</f>
        <v>11650</v>
      </c>
      <c r="D14" s="105">
        <f t="shared" ref="D14:L14" si="0">IFERROR(D11-D10,"")</f>
        <v>11650</v>
      </c>
      <c r="E14" s="105">
        <f t="shared" si="0"/>
        <v>11650</v>
      </c>
      <c r="F14" s="105">
        <f t="shared" si="0"/>
        <v>0</v>
      </c>
      <c r="G14" s="105">
        <f t="shared" si="0"/>
        <v>15032</v>
      </c>
      <c r="H14" s="105">
        <f t="shared" si="0"/>
        <v>9439</v>
      </c>
      <c r="I14" s="105">
        <f t="shared" si="0"/>
        <v>4442</v>
      </c>
      <c r="J14" s="105">
        <f t="shared" si="0"/>
        <v>15032</v>
      </c>
      <c r="K14" s="105">
        <f t="shared" si="0"/>
        <v>0</v>
      </c>
      <c r="L14" s="105">
        <f t="shared" si="0"/>
        <v>28034</v>
      </c>
    </row>
    <row r="15" spans="1:12" ht="16.399999999999999" customHeight="1" x14ac:dyDescent="0.35">
      <c r="A15" s="65" t="s">
        <v>2</v>
      </c>
      <c r="B15" s="66"/>
      <c r="C15" s="104"/>
      <c r="D15" s="104"/>
      <c r="E15" s="104"/>
      <c r="F15" s="104"/>
      <c r="G15" s="104"/>
      <c r="H15" s="104"/>
      <c r="I15" s="104"/>
      <c r="J15" s="104"/>
      <c r="K15" s="104"/>
      <c r="L15" s="104"/>
    </row>
    <row r="16" spans="1:12" x14ac:dyDescent="0.35">
      <c r="A16" s="21" t="s">
        <v>159</v>
      </c>
      <c r="B16" s="22"/>
      <c r="C16" s="58">
        <v>43191</v>
      </c>
      <c r="D16" s="60">
        <v>43191</v>
      </c>
      <c r="E16" s="60">
        <v>43191</v>
      </c>
      <c r="F16" s="25"/>
      <c r="G16" s="24">
        <v>43351</v>
      </c>
      <c r="H16" s="60">
        <v>43085</v>
      </c>
      <c r="I16" s="60">
        <v>42862</v>
      </c>
      <c r="J16" s="24">
        <v>43351</v>
      </c>
      <c r="K16" s="25"/>
      <c r="L16" s="25" t="s">
        <v>414</v>
      </c>
    </row>
    <row r="17" spans="1:12" x14ac:dyDescent="0.35">
      <c r="A17" s="26" t="s">
        <v>161</v>
      </c>
      <c r="B17" s="27" t="s">
        <v>162</v>
      </c>
      <c r="C17" s="59">
        <v>11650</v>
      </c>
      <c r="D17" s="59">
        <v>11650</v>
      </c>
      <c r="E17" s="59">
        <v>11650</v>
      </c>
      <c r="F17" s="28"/>
      <c r="G17" s="28">
        <v>15032</v>
      </c>
      <c r="H17" s="59">
        <v>9439</v>
      </c>
      <c r="I17" s="59">
        <v>4442</v>
      </c>
      <c r="J17" s="28">
        <v>15032</v>
      </c>
      <c r="K17" s="28"/>
      <c r="L17" s="28">
        <v>28034</v>
      </c>
    </row>
    <row r="18" spans="1:12" x14ac:dyDescent="0.35">
      <c r="A18" s="26" t="s">
        <v>161</v>
      </c>
      <c r="B18" s="27" t="s">
        <v>163</v>
      </c>
      <c r="C18" s="75">
        <v>14497</v>
      </c>
      <c r="D18" s="75">
        <v>14497</v>
      </c>
      <c r="E18" s="29">
        <v>22034</v>
      </c>
      <c r="F18" s="28"/>
      <c r="G18" s="28">
        <v>28034</v>
      </c>
      <c r="H18" s="59">
        <v>14000</v>
      </c>
      <c r="I18" s="59">
        <v>9439</v>
      </c>
      <c r="J18" s="28">
        <v>28034</v>
      </c>
      <c r="K18" s="28"/>
      <c r="L18" s="28">
        <v>32616</v>
      </c>
    </row>
    <row r="19" spans="1:12" x14ac:dyDescent="0.35">
      <c r="A19" s="26" t="s">
        <v>164</v>
      </c>
      <c r="B19" s="27"/>
      <c r="C19" s="78">
        <v>43322</v>
      </c>
      <c r="D19" s="78">
        <v>43322</v>
      </c>
      <c r="E19" s="31">
        <v>43739</v>
      </c>
      <c r="F19" s="28"/>
      <c r="G19" s="28" t="s">
        <v>414</v>
      </c>
      <c r="H19" s="58">
        <v>43291</v>
      </c>
      <c r="I19" s="60">
        <v>43085</v>
      </c>
      <c r="J19" s="28" t="s">
        <v>414</v>
      </c>
      <c r="K19" s="28"/>
      <c r="L19" s="28" t="s">
        <v>255</v>
      </c>
    </row>
    <row r="20" spans="1:12" ht="29" x14ac:dyDescent="0.35">
      <c r="A20" s="32" t="s">
        <v>165</v>
      </c>
      <c r="B20" s="37"/>
      <c r="C20" s="34" t="s">
        <v>166</v>
      </c>
      <c r="D20" s="34" t="s">
        <v>166</v>
      </c>
      <c r="E20" s="34" t="s">
        <v>166</v>
      </c>
      <c r="F20" s="28"/>
      <c r="G20" s="28" t="s">
        <v>264</v>
      </c>
      <c r="H20" s="34" t="s">
        <v>166</v>
      </c>
      <c r="I20" s="34" t="s">
        <v>166</v>
      </c>
      <c r="J20" s="28" t="s">
        <v>264</v>
      </c>
      <c r="K20" s="28"/>
      <c r="L20" s="28" t="s">
        <v>273</v>
      </c>
    </row>
    <row r="21" spans="1:12" x14ac:dyDescent="0.35">
      <c r="A21" s="225" t="s">
        <v>167</v>
      </c>
      <c r="B21" s="63"/>
      <c r="C21" s="105">
        <f>IFERROR(C18-C17,"")</f>
        <v>2847</v>
      </c>
      <c r="D21" s="105">
        <f t="shared" ref="D21:L21" si="1">IFERROR(D18-D17,"")</f>
        <v>2847</v>
      </c>
      <c r="E21" s="105">
        <f t="shared" si="1"/>
        <v>10384</v>
      </c>
      <c r="F21" s="105">
        <f t="shared" si="1"/>
        <v>0</v>
      </c>
      <c r="G21" s="105">
        <f t="shared" si="1"/>
        <v>13002</v>
      </c>
      <c r="H21" s="105">
        <f t="shared" si="1"/>
        <v>4561</v>
      </c>
      <c r="I21" s="105">
        <f t="shared" si="1"/>
        <v>4997</v>
      </c>
      <c r="J21" s="105">
        <f t="shared" si="1"/>
        <v>13002</v>
      </c>
      <c r="K21" s="105">
        <f t="shared" si="1"/>
        <v>0</v>
      </c>
      <c r="L21" s="105">
        <f t="shared" si="1"/>
        <v>4582</v>
      </c>
    </row>
    <row r="22" spans="1:12" ht="16.399999999999999" customHeight="1" x14ac:dyDescent="0.35">
      <c r="A22" s="65" t="s">
        <v>2</v>
      </c>
      <c r="B22" s="66"/>
      <c r="C22" s="104">
        <f>AVERAGE(C21,C14)</f>
        <v>7248.5</v>
      </c>
      <c r="D22" s="104">
        <f t="shared" ref="D22:L22" si="2">AVERAGE(D21,D14)</f>
        <v>7248.5</v>
      </c>
      <c r="E22" s="104">
        <f>IFERROR(AVERAGE(E21,E14),"")</f>
        <v>11017</v>
      </c>
      <c r="F22" s="104">
        <f t="shared" si="2"/>
        <v>0</v>
      </c>
      <c r="G22" s="104">
        <f t="shared" si="2"/>
        <v>14017</v>
      </c>
      <c r="H22" s="104">
        <f t="shared" si="2"/>
        <v>7000</v>
      </c>
      <c r="I22" s="104">
        <f t="shared" si="2"/>
        <v>4719.5</v>
      </c>
      <c r="J22" s="104">
        <f t="shared" si="2"/>
        <v>14017</v>
      </c>
      <c r="K22" s="104">
        <f t="shared" si="2"/>
        <v>0</v>
      </c>
      <c r="L22" s="104">
        <f t="shared" si="2"/>
        <v>16308</v>
      </c>
    </row>
    <row r="23" spans="1:12" x14ac:dyDescent="0.35">
      <c r="A23" s="21" t="s">
        <v>159</v>
      </c>
      <c r="B23" s="22"/>
      <c r="C23" s="78">
        <v>43322</v>
      </c>
      <c r="D23" s="24">
        <v>43322</v>
      </c>
      <c r="E23" s="24">
        <v>43739</v>
      </c>
      <c r="F23" s="25"/>
      <c r="G23" s="24" t="s">
        <v>414</v>
      </c>
      <c r="H23" s="58">
        <v>43291</v>
      </c>
      <c r="I23" s="79">
        <v>42862</v>
      </c>
      <c r="J23" s="25"/>
      <c r="K23" s="25"/>
      <c r="L23" s="25" t="s">
        <v>255</v>
      </c>
    </row>
    <row r="24" spans="1:12" x14ac:dyDescent="0.35">
      <c r="A24" s="26" t="s">
        <v>161</v>
      </c>
      <c r="B24" s="27" t="s">
        <v>162</v>
      </c>
      <c r="C24" s="75">
        <v>14497</v>
      </c>
      <c r="D24" s="28">
        <v>14497</v>
      </c>
      <c r="E24" s="28">
        <v>22034</v>
      </c>
      <c r="F24" s="28"/>
      <c r="G24" s="28">
        <v>28034</v>
      </c>
      <c r="H24" s="59">
        <v>14000</v>
      </c>
      <c r="I24" s="59">
        <v>4442</v>
      </c>
      <c r="J24" s="28"/>
      <c r="K24" s="28"/>
      <c r="L24" s="28">
        <v>32616</v>
      </c>
    </row>
    <row r="25" spans="1:12" x14ac:dyDescent="0.35">
      <c r="A25" s="26" t="s">
        <v>161</v>
      </c>
      <c r="B25" s="27" t="s">
        <v>163</v>
      </c>
      <c r="C25" s="80">
        <v>15150</v>
      </c>
      <c r="D25" s="28">
        <v>28034</v>
      </c>
      <c r="E25" s="28">
        <v>40299</v>
      </c>
      <c r="F25" s="28"/>
      <c r="G25" s="28">
        <v>40299</v>
      </c>
      <c r="H25" s="59">
        <v>14497</v>
      </c>
      <c r="I25" s="80">
        <v>14497</v>
      </c>
      <c r="J25" s="28"/>
      <c r="K25" s="28"/>
      <c r="L25" s="28">
        <v>36746</v>
      </c>
    </row>
    <row r="26" spans="1:12" x14ac:dyDescent="0.35">
      <c r="A26" s="26" t="s">
        <v>164</v>
      </c>
      <c r="B26" s="27"/>
      <c r="C26" s="78">
        <v>43351</v>
      </c>
      <c r="D26" s="28" t="s">
        <v>414</v>
      </c>
      <c r="E26" s="28" t="s">
        <v>550</v>
      </c>
      <c r="F26" s="28"/>
      <c r="G26" s="28" t="s">
        <v>550</v>
      </c>
      <c r="H26" s="58">
        <v>43322</v>
      </c>
      <c r="I26" s="210">
        <v>43322</v>
      </c>
      <c r="J26" s="28"/>
      <c r="K26" s="28"/>
      <c r="L26" s="28" t="s">
        <v>271</v>
      </c>
    </row>
    <row r="27" spans="1:12" x14ac:dyDescent="0.35">
      <c r="A27" s="32" t="s">
        <v>165</v>
      </c>
      <c r="B27" s="37"/>
      <c r="C27" s="34" t="s">
        <v>166</v>
      </c>
      <c r="D27" s="28" t="s">
        <v>264</v>
      </c>
      <c r="E27" s="28" t="s">
        <v>270</v>
      </c>
      <c r="F27" s="28"/>
      <c r="G27" s="28" t="s">
        <v>270</v>
      </c>
      <c r="H27" s="34" t="s">
        <v>166</v>
      </c>
      <c r="I27" s="34" t="s">
        <v>166</v>
      </c>
      <c r="J27" s="28"/>
      <c r="K27" s="28"/>
      <c r="L27" s="28"/>
    </row>
    <row r="28" spans="1:12" x14ac:dyDescent="0.35">
      <c r="A28" s="225" t="s">
        <v>167</v>
      </c>
      <c r="B28" s="63"/>
      <c r="C28" s="105">
        <f>IFERROR(C25-C24,"")</f>
        <v>653</v>
      </c>
      <c r="D28" s="105">
        <f t="shared" ref="D28:L28" si="3">IFERROR(D25-D24,"")</f>
        <v>13537</v>
      </c>
      <c r="E28" s="105">
        <f t="shared" si="3"/>
        <v>18265</v>
      </c>
      <c r="F28" s="105">
        <f t="shared" si="3"/>
        <v>0</v>
      </c>
      <c r="G28" s="105">
        <f t="shared" si="3"/>
        <v>12265</v>
      </c>
      <c r="H28" s="105">
        <f t="shared" si="3"/>
        <v>497</v>
      </c>
      <c r="I28" s="105">
        <f t="shared" si="3"/>
        <v>10055</v>
      </c>
      <c r="J28" s="105">
        <f t="shared" si="3"/>
        <v>0</v>
      </c>
      <c r="K28" s="105">
        <f t="shared" si="3"/>
        <v>0</v>
      </c>
      <c r="L28" s="105">
        <f t="shared" si="3"/>
        <v>4130</v>
      </c>
    </row>
    <row r="29" spans="1:12" ht="16.399999999999999" customHeight="1" x14ac:dyDescent="0.35">
      <c r="A29" s="65" t="s">
        <v>2</v>
      </c>
      <c r="B29" s="66"/>
      <c r="C29" s="104">
        <f>AVERAGE(C28,C21,C14)</f>
        <v>5050</v>
      </c>
      <c r="D29" s="104">
        <f t="shared" ref="D29:L29" si="4">AVERAGE(D28,D21,D14)</f>
        <v>9344.6666666666661</v>
      </c>
      <c r="E29" s="104">
        <f t="shared" si="4"/>
        <v>13433</v>
      </c>
      <c r="F29" s="104">
        <f t="shared" si="4"/>
        <v>0</v>
      </c>
      <c r="G29" s="104">
        <f t="shared" si="4"/>
        <v>13433</v>
      </c>
      <c r="H29" s="104">
        <f t="shared" si="4"/>
        <v>4832.333333333333</v>
      </c>
      <c r="I29" s="104">
        <f t="shared" si="4"/>
        <v>6498</v>
      </c>
      <c r="J29" s="104">
        <f t="shared" si="4"/>
        <v>9344.6666666666661</v>
      </c>
      <c r="K29" s="104">
        <f t="shared" si="4"/>
        <v>0</v>
      </c>
      <c r="L29" s="104">
        <f t="shared" si="4"/>
        <v>12248.666666666666</v>
      </c>
    </row>
    <row r="30" spans="1:12" x14ac:dyDescent="0.35">
      <c r="A30" s="21" t="s">
        <v>159</v>
      </c>
      <c r="B30" s="22"/>
      <c r="C30" s="78">
        <v>43351</v>
      </c>
      <c r="D30" s="25"/>
      <c r="E30" s="25"/>
      <c r="F30" s="25"/>
      <c r="G30" s="24"/>
      <c r="H30" s="58">
        <v>43322</v>
      </c>
      <c r="I30" s="210">
        <v>43322</v>
      </c>
      <c r="J30" s="25"/>
      <c r="K30" s="25"/>
      <c r="L30" s="25"/>
    </row>
    <row r="31" spans="1:12" x14ac:dyDescent="0.35">
      <c r="A31" s="26" t="s">
        <v>161</v>
      </c>
      <c r="B31" s="27" t="s">
        <v>162</v>
      </c>
      <c r="C31" s="80">
        <v>15150</v>
      </c>
      <c r="D31" s="28"/>
      <c r="E31" s="28"/>
      <c r="F31" s="28"/>
      <c r="G31" s="28"/>
      <c r="H31" s="59">
        <v>14497</v>
      </c>
      <c r="I31" s="80">
        <v>14497</v>
      </c>
      <c r="J31" s="28"/>
      <c r="K31" s="28"/>
      <c r="L31" s="28"/>
    </row>
    <row r="32" spans="1:12" x14ac:dyDescent="0.35">
      <c r="A32" s="26" t="s">
        <v>161</v>
      </c>
      <c r="B32" s="27" t="s">
        <v>163</v>
      </c>
      <c r="C32" s="75">
        <v>24521</v>
      </c>
      <c r="D32" s="28"/>
      <c r="E32" s="28"/>
      <c r="F32" s="28"/>
      <c r="G32" s="28"/>
      <c r="H32" s="59">
        <v>20097</v>
      </c>
      <c r="I32" s="59">
        <v>22034</v>
      </c>
      <c r="J32" s="28"/>
      <c r="K32" s="28"/>
      <c r="L32" s="28"/>
    </row>
    <row r="33" spans="1:12" x14ac:dyDescent="0.35">
      <c r="A33" s="26" t="s">
        <v>164</v>
      </c>
      <c r="B33" s="27"/>
      <c r="C33" s="78">
        <v>43853</v>
      </c>
      <c r="D33" s="28"/>
      <c r="E33" s="28"/>
      <c r="F33" s="28"/>
      <c r="G33" s="28"/>
      <c r="H33" s="60">
        <v>43647</v>
      </c>
      <c r="I33" s="60">
        <v>43739</v>
      </c>
      <c r="J33" s="28"/>
      <c r="K33" s="28"/>
      <c r="L33" s="28"/>
    </row>
    <row r="34" spans="1:12" x14ac:dyDescent="0.35">
      <c r="A34" s="32" t="s">
        <v>165</v>
      </c>
      <c r="B34" s="37"/>
      <c r="C34" s="34" t="s">
        <v>166</v>
      </c>
      <c r="D34" s="28"/>
      <c r="E34" s="28"/>
      <c r="F34" s="28"/>
      <c r="G34" s="28"/>
      <c r="H34" s="34" t="s">
        <v>166</v>
      </c>
      <c r="I34" s="34" t="s">
        <v>166</v>
      </c>
      <c r="J34" s="28"/>
      <c r="K34" s="28"/>
      <c r="L34" s="28"/>
    </row>
    <row r="35" spans="1:12" x14ac:dyDescent="0.35">
      <c r="A35" s="225" t="s">
        <v>167</v>
      </c>
      <c r="B35" s="63"/>
      <c r="C35" s="105">
        <f>IFERROR(C32-C31,"")</f>
        <v>9371</v>
      </c>
      <c r="D35" s="105">
        <f t="shared" ref="D35:L35" si="5">IFERROR(D32-D31,"")</f>
        <v>0</v>
      </c>
      <c r="E35" s="105">
        <f t="shared" si="5"/>
        <v>0</v>
      </c>
      <c r="F35" s="105">
        <f t="shared" si="5"/>
        <v>0</v>
      </c>
      <c r="G35" s="105">
        <f t="shared" si="5"/>
        <v>0</v>
      </c>
      <c r="H35" s="105">
        <f t="shared" si="5"/>
        <v>5600</v>
      </c>
      <c r="I35" s="105">
        <f t="shared" si="5"/>
        <v>7537</v>
      </c>
      <c r="J35" s="105">
        <f t="shared" si="5"/>
        <v>0</v>
      </c>
      <c r="K35" s="105">
        <f t="shared" si="5"/>
        <v>0</v>
      </c>
      <c r="L35" s="105">
        <f t="shared" si="5"/>
        <v>0</v>
      </c>
    </row>
    <row r="36" spans="1:12" ht="16.399999999999999" customHeight="1" x14ac:dyDescent="0.35">
      <c r="A36" s="65" t="s">
        <v>2</v>
      </c>
      <c r="B36" s="66"/>
      <c r="C36" s="103">
        <f>AVERAGE(C21,C28,C35,C14)</f>
        <v>6130.25</v>
      </c>
      <c r="D36" s="103">
        <f t="shared" ref="D36:L36" si="6">AVERAGE(D21,D28,D35,D14)</f>
        <v>7008.5</v>
      </c>
      <c r="E36" s="103">
        <f t="shared" si="6"/>
        <v>10074.75</v>
      </c>
      <c r="F36" s="103">
        <f t="shared" si="6"/>
        <v>0</v>
      </c>
      <c r="G36" s="103">
        <f t="shared" si="6"/>
        <v>10074.75</v>
      </c>
      <c r="H36" s="103">
        <f t="shared" si="6"/>
        <v>5024.25</v>
      </c>
      <c r="I36" s="103">
        <f t="shared" si="6"/>
        <v>6757.75</v>
      </c>
      <c r="J36" s="103">
        <f t="shared" si="6"/>
        <v>7008.5</v>
      </c>
      <c r="K36" s="103">
        <f t="shared" si="6"/>
        <v>0</v>
      </c>
      <c r="L36" s="103">
        <f t="shared" si="6"/>
        <v>9186.5</v>
      </c>
    </row>
    <row r="37" spans="1:12" x14ac:dyDescent="0.35">
      <c r="A37" s="21" t="s">
        <v>159</v>
      </c>
      <c r="B37" s="22"/>
      <c r="C37" s="91">
        <v>43853</v>
      </c>
      <c r="D37" s="25"/>
      <c r="E37" s="25"/>
      <c r="F37" s="25"/>
      <c r="G37" s="24"/>
      <c r="H37" s="60">
        <v>43647</v>
      </c>
      <c r="I37" s="60">
        <v>43739</v>
      </c>
      <c r="J37" s="25"/>
      <c r="K37" s="25"/>
      <c r="L37" s="25"/>
    </row>
    <row r="38" spans="1:12" x14ac:dyDescent="0.35">
      <c r="A38" s="26" t="s">
        <v>161</v>
      </c>
      <c r="B38" s="27" t="s">
        <v>162</v>
      </c>
      <c r="C38" s="36">
        <v>24521</v>
      </c>
      <c r="D38" s="28"/>
      <c r="E38" s="28"/>
      <c r="F38" s="28"/>
      <c r="G38" s="28"/>
      <c r="H38" s="59">
        <v>20097</v>
      </c>
      <c r="I38" s="59">
        <v>22034</v>
      </c>
      <c r="J38" s="28"/>
      <c r="K38" s="28"/>
      <c r="L38" s="28"/>
    </row>
    <row r="39" spans="1:12" x14ac:dyDescent="0.35">
      <c r="A39" s="26" t="s">
        <v>161</v>
      </c>
      <c r="B39" s="27" t="s">
        <v>163</v>
      </c>
      <c r="C39" s="29">
        <v>33687</v>
      </c>
      <c r="D39" s="28"/>
      <c r="E39" s="28"/>
      <c r="F39" s="28"/>
      <c r="G39" s="28"/>
      <c r="H39" s="59">
        <v>24521</v>
      </c>
      <c r="I39" s="72">
        <v>24514.1171875</v>
      </c>
      <c r="J39" s="28"/>
      <c r="K39" s="28"/>
      <c r="L39" s="28"/>
    </row>
    <row r="40" spans="1:12" x14ac:dyDescent="0.35">
      <c r="A40" s="26" t="s">
        <v>164</v>
      </c>
      <c r="B40" s="27"/>
      <c r="C40" s="36" t="s">
        <v>249</v>
      </c>
      <c r="D40" s="28"/>
      <c r="E40" s="28"/>
      <c r="F40" s="28"/>
      <c r="G40" s="28"/>
      <c r="H40" s="60">
        <v>43853</v>
      </c>
      <c r="I40" s="210">
        <v>43853</v>
      </c>
      <c r="J40" s="28"/>
      <c r="K40" s="28"/>
      <c r="L40" s="28"/>
    </row>
    <row r="41" spans="1:12" x14ac:dyDescent="0.35">
      <c r="A41" s="32" t="s">
        <v>165</v>
      </c>
      <c r="B41" s="37"/>
      <c r="C41" s="36" t="s">
        <v>252</v>
      </c>
      <c r="D41" s="28"/>
      <c r="E41" s="28"/>
      <c r="F41" s="28"/>
      <c r="G41" s="28"/>
      <c r="H41" s="34" t="s">
        <v>166</v>
      </c>
      <c r="I41" s="34" t="s">
        <v>166</v>
      </c>
      <c r="J41" s="28"/>
      <c r="K41" s="28"/>
      <c r="L41" s="28"/>
    </row>
    <row r="42" spans="1:12" x14ac:dyDescent="0.35">
      <c r="A42" s="225" t="s">
        <v>167</v>
      </c>
      <c r="B42" s="63"/>
      <c r="C42" s="105">
        <f>IFERROR(C39-C38,"")</f>
        <v>9166</v>
      </c>
      <c r="D42" s="105">
        <f t="shared" ref="D42:L42" si="7">IFERROR(D39-D38,"")</f>
        <v>0</v>
      </c>
      <c r="E42" s="105">
        <f t="shared" si="7"/>
        <v>0</v>
      </c>
      <c r="F42" s="105">
        <f t="shared" si="7"/>
        <v>0</v>
      </c>
      <c r="G42" s="105">
        <f t="shared" si="7"/>
        <v>0</v>
      </c>
      <c r="H42" s="105">
        <f t="shared" si="7"/>
        <v>4424</v>
      </c>
      <c r="I42" s="105">
        <f t="shared" si="7"/>
        <v>2480.1171875</v>
      </c>
      <c r="J42" s="105">
        <f t="shared" si="7"/>
        <v>0</v>
      </c>
      <c r="K42" s="105">
        <f t="shared" si="7"/>
        <v>0</v>
      </c>
      <c r="L42" s="105">
        <f t="shared" si="7"/>
        <v>0</v>
      </c>
    </row>
    <row r="43" spans="1:12" ht="16.399999999999999" customHeight="1" x14ac:dyDescent="0.35">
      <c r="A43" s="65" t="s">
        <v>2</v>
      </c>
      <c r="B43" s="66"/>
      <c r="C43" s="104">
        <f>AVERAGE(C42,C35,C28,C21,C14)</f>
        <v>6737.4</v>
      </c>
      <c r="D43" s="104">
        <f t="shared" ref="D43:L43" si="8">AVERAGE(D42,D35,D28,D21,D14)</f>
        <v>5606.8</v>
      </c>
      <c r="E43" s="104">
        <f t="shared" si="8"/>
        <v>8059.8</v>
      </c>
      <c r="F43" s="104">
        <f t="shared" si="8"/>
        <v>0</v>
      </c>
      <c r="G43" s="104">
        <f t="shared" si="8"/>
        <v>8059.8</v>
      </c>
      <c r="H43" s="104">
        <f t="shared" si="8"/>
        <v>4904.2</v>
      </c>
      <c r="I43" s="104">
        <f t="shared" si="8"/>
        <v>5902.2234374999998</v>
      </c>
      <c r="J43" s="104">
        <f t="shared" si="8"/>
        <v>5606.8</v>
      </c>
      <c r="K43" s="104">
        <f t="shared" si="8"/>
        <v>0</v>
      </c>
      <c r="L43" s="104">
        <f t="shared" si="8"/>
        <v>7349.2</v>
      </c>
    </row>
    <row r="44" spans="1:12" x14ac:dyDescent="0.35">
      <c r="A44" s="21" t="s">
        <v>159</v>
      </c>
      <c r="B44" s="22"/>
      <c r="C44" s="91"/>
      <c r="D44" s="25"/>
      <c r="E44" s="25"/>
      <c r="F44" s="25"/>
      <c r="G44" s="24"/>
      <c r="H44" s="60">
        <v>43853</v>
      </c>
      <c r="I44" s="77">
        <v>43853</v>
      </c>
      <c r="J44" s="25"/>
      <c r="K44" s="25"/>
      <c r="L44" s="25"/>
    </row>
    <row r="45" spans="1:12" x14ac:dyDescent="0.35">
      <c r="A45" s="26" t="s">
        <v>161</v>
      </c>
      <c r="B45" s="27" t="s">
        <v>162</v>
      </c>
      <c r="C45" s="36"/>
      <c r="D45" s="28"/>
      <c r="E45" s="28"/>
      <c r="F45" s="28"/>
      <c r="G45" s="28"/>
      <c r="H45" s="59">
        <v>24521</v>
      </c>
      <c r="I45" s="129">
        <v>24514.1171875</v>
      </c>
      <c r="J45" s="28"/>
      <c r="K45" s="28"/>
      <c r="L45" s="28"/>
    </row>
    <row r="46" spans="1:12" x14ac:dyDescent="0.35">
      <c r="A46" s="26" t="s">
        <v>161</v>
      </c>
      <c r="B46" s="27" t="s">
        <v>163</v>
      </c>
      <c r="C46" s="29"/>
      <c r="D46" s="28"/>
      <c r="E46" s="28"/>
      <c r="F46" s="28"/>
      <c r="G46" s="28"/>
      <c r="H46" s="59">
        <v>24960</v>
      </c>
      <c r="I46" s="129">
        <v>34201</v>
      </c>
      <c r="J46" s="28"/>
      <c r="K46" s="28"/>
      <c r="L46" s="28"/>
    </row>
    <row r="47" spans="1:12" x14ac:dyDescent="0.35">
      <c r="A47" s="26" t="s">
        <v>164</v>
      </c>
      <c r="B47" s="27"/>
      <c r="C47" s="36"/>
      <c r="D47" s="28"/>
      <c r="E47" s="28"/>
      <c r="F47" s="28"/>
      <c r="G47" s="28"/>
      <c r="H47" s="206">
        <v>43881</v>
      </c>
      <c r="I47" s="77" t="s">
        <v>281</v>
      </c>
      <c r="J47" s="28"/>
      <c r="K47" s="28"/>
      <c r="L47" s="28"/>
    </row>
    <row r="48" spans="1:12" x14ac:dyDescent="0.35">
      <c r="A48" s="32" t="s">
        <v>165</v>
      </c>
      <c r="B48" s="37"/>
      <c r="C48" s="36"/>
      <c r="D48" s="28"/>
      <c r="E48" s="28"/>
      <c r="F48" s="28"/>
      <c r="G48" s="28"/>
      <c r="H48" s="34" t="s">
        <v>415</v>
      </c>
      <c r="I48" s="59" t="s">
        <v>264</v>
      </c>
      <c r="J48" s="28"/>
      <c r="K48" s="28"/>
      <c r="L48" s="28"/>
    </row>
    <row r="49" spans="1:12" x14ac:dyDescent="0.35">
      <c r="A49" s="225" t="s">
        <v>167</v>
      </c>
      <c r="B49" s="63"/>
      <c r="C49" s="105">
        <f>IFERROR(C46-C45,"")</f>
        <v>0</v>
      </c>
      <c r="D49" s="105">
        <f t="shared" ref="D49:L49" si="9">IFERROR(D46-D45,"")</f>
        <v>0</v>
      </c>
      <c r="E49" s="105">
        <f t="shared" si="9"/>
        <v>0</v>
      </c>
      <c r="F49" s="105">
        <f t="shared" si="9"/>
        <v>0</v>
      </c>
      <c r="G49" s="105">
        <f t="shared" si="9"/>
        <v>0</v>
      </c>
      <c r="H49" s="105">
        <f t="shared" si="9"/>
        <v>439</v>
      </c>
      <c r="I49" s="105">
        <f t="shared" si="9"/>
        <v>9686.8828125</v>
      </c>
      <c r="J49" s="105">
        <f t="shared" si="9"/>
        <v>0</v>
      </c>
      <c r="K49" s="105">
        <f t="shared" si="9"/>
        <v>0</v>
      </c>
      <c r="L49" s="105">
        <f t="shared" si="9"/>
        <v>0</v>
      </c>
    </row>
    <row r="50" spans="1:12" ht="16.399999999999999" customHeight="1" x14ac:dyDescent="0.35">
      <c r="A50" s="65" t="s">
        <v>2</v>
      </c>
      <c r="B50" s="66"/>
      <c r="C50" s="103">
        <f>AVERAGE(C49,C42,C35,C28,C21,C14)</f>
        <v>5614.5</v>
      </c>
      <c r="D50" s="103">
        <f t="shared" ref="D50:L50" si="10">AVERAGE(D49,D42,D35,D28,D21,D14)</f>
        <v>4672.333333333333</v>
      </c>
      <c r="E50" s="103">
        <f t="shared" si="10"/>
        <v>6716.5</v>
      </c>
      <c r="F50" s="103">
        <f t="shared" si="10"/>
        <v>0</v>
      </c>
      <c r="G50" s="103">
        <f t="shared" si="10"/>
        <v>6716.5</v>
      </c>
      <c r="H50" s="103">
        <f t="shared" si="10"/>
        <v>4160</v>
      </c>
      <c r="I50" s="103">
        <f t="shared" si="10"/>
        <v>6533</v>
      </c>
      <c r="J50" s="103">
        <f t="shared" si="10"/>
        <v>4672.333333333333</v>
      </c>
      <c r="K50" s="103">
        <f t="shared" si="10"/>
        <v>0</v>
      </c>
      <c r="L50" s="103">
        <f t="shared" si="10"/>
        <v>6124.333333333333</v>
      </c>
    </row>
    <row r="51" spans="1:12" x14ac:dyDescent="0.35">
      <c r="A51" s="21" t="s">
        <v>159</v>
      </c>
      <c r="B51" s="22"/>
      <c r="C51" s="91"/>
      <c r="D51" s="25"/>
      <c r="E51" s="25"/>
      <c r="F51" s="25"/>
      <c r="G51" s="24"/>
      <c r="H51" s="206">
        <v>43881</v>
      </c>
      <c r="I51" s="77" t="s">
        <v>281</v>
      </c>
      <c r="J51" s="25"/>
      <c r="K51" s="25"/>
      <c r="L51" s="25"/>
    </row>
    <row r="52" spans="1:12" x14ac:dyDescent="0.35">
      <c r="A52" s="26" t="s">
        <v>161</v>
      </c>
      <c r="B52" s="27" t="s">
        <v>162</v>
      </c>
      <c r="C52" s="36"/>
      <c r="D52" s="28"/>
      <c r="E52" s="28"/>
      <c r="F52" s="28"/>
      <c r="G52" s="24"/>
      <c r="H52" s="59">
        <v>24960</v>
      </c>
      <c r="I52" s="59">
        <v>34201</v>
      </c>
      <c r="J52" s="28"/>
      <c r="K52" s="28"/>
      <c r="L52" s="28"/>
    </row>
    <row r="53" spans="1:12" x14ac:dyDescent="0.35">
      <c r="A53" s="26" t="s">
        <v>161</v>
      </c>
      <c r="B53" s="27" t="s">
        <v>163</v>
      </c>
      <c r="C53" s="29"/>
      <c r="D53" s="28"/>
      <c r="E53" s="28"/>
      <c r="F53" s="28"/>
      <c r="G53" s="24"/>
      <c r="H53" s="72">
        <v>26115.7890625</v>
      </c>
      <c r="I53" s="59">
        <v>32616</v>
      </c>
      <c r="J53" s="28"/>
      <c r="K53" s="28"/>
      <c r="L53" s="28"/>
    </row>
    <row r="54" spans="1:12" x14ac:dyDescent="0.35">
      <c r="A54" s="26" t="s">
        <v>164</v>
      </c>
      <c r="B54" s="27"/>
      <c r="C54" s="36"/>
      <c r="D54" s="28"/>
      <c r="E54" s="28"/>
      <c r="F54" s="28"/>
      <c r="G54" s="24"/>
      <c r="H54" s="206">
        <v>43941</v>
      </c>
      <c r="I54" s="77" t="s">
        <v>255</v>
      </c>
      <c r="J54" s="28"/>
      <c r="K54" s="28"/>
      <c r="L54" s="28"/>
    </row>
    <row r="55" spans="1:12" x14ac:dyDescent="0.35">
      <c r="A55" s="32" t="s">
        <v>165</v>
      </c>
      <c r="B55" s="37"/>
      <c r="C55" s="36"/>
      <c r="D55" s="28"/>
      <c r="E55" s="28"/>
      <c r="F55" s="28"/>
      <c r="G55" s="24"/>
      <c r="H55" s="34" t="s">
        <v>415</v>
      </c>
      <c r="I55" s="59" t="s">
        <v>273</v>
      </c>
      <c r="J55" s="28"/>
      <c r="K55" s="28"/>
      <c r="L55" s="28"/>
    </row>
    <row r="56" spans="1:12" x14ac:dyDescent="0.35">
      <c r="A56" s="225" t="s">
        <v>167</v>
      </c>
      <c r="B56" s="63"/>
      <c r="C56" s="105">
        <f>IFERROR(C53-C52,"")</f>
        <v>0</v>
      </c>
      <c r="D56" s="105">
        <f t="shared" ref="D56:L56" si="11">IFERROR(D53-D52,"")</f>
        <v>0</v>
      </c>
      <c r="E56" s="105">
        <f t="shared" si="11"/>
        <v>0</v>
      </c>
      <c r="F56" s="105">
        <f t="shared" si="11"/>
        <v>0</v>
      </c>
      <c r="G56" s="105">
        <f t="shared" si="11"/>
        <v>0</v>
      </c>
      <c r="H56" s="105">
        <f t="shared" si="11"/>
        <v>1155.7890625</v>
      </c>
      <c r="I56" s="105">
        <f t="shared" si="11"/>
        <v>-1585</v>
      </c>
      <c r="J56" s="105">
        <f t="shared" si="11"/>
        <v>0</v>
      </c>
      <c r="K56" s="105">
        <f t="shared" si="11"/>
        <v>0</v>
      </c>
      <c r="L56" s="105">
        <f t="shared" si="11"/>
        <v>0</v>
      </c>
    </row>
    <row r="57" spans="1:12" ht="16.399999999999999" customHeight="1" x14ac:dyDescent="0.35">
      <c r="A57" s="65" t="s">
        <v>2</v>
      </c>
      <c r="B57" s="66"/>
      <c r="C57" s="103">
        <f>AVERAGE(C56,C49,C42,C35,C28,C21,C14)</f>
        <v>4812.4285714285716</v>
      </c>
      <c r="D57" s="103">
        <f t="shared" ref="D57:L57" si="12">AVERAGE(D56,D49,D42,D35,D28,D21,D14)</f>
        <v>4004.8571428571427</v>
      </c>
      <c r="E57" s="103">
        <f t="shared" si="12"/>
        <v>5757</v>
      </c>
      <c r="F57" s="103">
        <f t="shared" si="12"/>
        <v>0</v>
      </c>
      <c r="G57" s="103">
        <f t="shared" si="12"/>
        <v>5757</v>
      </c>
      <c r="H57" s="103">
        <f t="shared" si="12"/>
        <v>3730.8270089285716</v>
      </c>
      <c r="I57" s="103">
        <f t="shared" si="12"/>
        <v>5373.2857142857147</v>
      </c>
      <c r="J57" s="103">
        <f t="shared" si="12"/>
        <v>4004.8571428571427</v>
      </c>
      <c r="K57" s="103">
        <f t="shared" si="12"/>
        <v>0</v>
      </c>
      <c r="L57" s="103">
        <f t="shared" si="12"/>
        <v>5249.4285714285716</v>
      </c>
    </row>
    <row r="58" spans="1:12" x14ac:dyDescent="0.35">
      <c r="A58" s="21" t="s">
        <v>159</v>
      </c>
      <c r="B58" s="22"/>
      <c r="C58" s="91"/>
      <c r="D58" s="25"/>
      <c r="E58" s="25"/>
      <c r="F58" s="25"/>
      <c r="G58" s="24"/>
      <c r="H58" s="77">
        <v>43941</v>
      </c>
      <c r="I58" s="59" t="s">
        <v>255</v>
      </c>
      <c r="J58" s="25"/>
      <c r="K58" s="25"/>
      <c r="L58" s="25"/>
    </row>
    <row r="59" spans="1:12" x14ac:dyDescent="0.35">
      <c r="A59" s="26" t="s">
        <v>161</v>
      </c>
      <c r="B59" s="27" t="s">
        <v>162</v>
      </c>
      <c r="C59" s="36"/>
      <c r="D59" s="28"/>
      <c r="E59" s="28"/>
      <c r="F59" s="28"/>
      <c r="G59" s="28"/>
      <c r="H59" s="129">
        <v>26115.7890625</v>
      </c>
      <c r="I59" s="59">
        <v>32616</v>
      </c>
      <c r="J59" s="28"/>
      <c r="K59" s="28"/>
      <c r="L59" s="28"/>
    </row>
    <row r="60" spans="1:12" x14ac:dyDescent="0.35">
      <c r="A60" s="26" t="s">
        <v>161</v>
      </c>
      <c r="B60" s="27" t="s">
        <v>163</v>
      </c>
      <c r="C60" s="29"/>
      <c r="D60" s="28"/>
      <c r="E60" s="28"/>
      <c r="F60" s="28"/>
      <c r="G60" s="28"/>
      <c r="H60" s="129">
        <v>33259</v>
      </c>
      <c r="I60" s="59">
        <v>33687</v>
      </c>
      <c r="J60" s="28"/>
      <c r="K60" s="28"/>
      <c r="L60" s="28"/>
    </row>
    <row r="61" spans="1:12" x14ac:dyDescent="0.35">
      <c r="A61" s="26" t="s">
        <v>164</v>
      </c>
      <c r="B61" s="27"/>
      <c r="C61" s="36"/>
      <c r="D61" s="28"/>
      <c r="E61" s="28"/>
      <c r="F61" s="28"/>
      <c r="G61" s="28"/>
      <c r="H61" s="77">
        <v>43853</v>
      </c>
      <c r="I61" s="59" t="s">
        <v>249</v>
      </c>
      <c r="J61" s="28"/>
      <c r="K61" s="28"/>
      <c r="L61" s="28"/>
    </row>
    <row r="62" spans="1:12" x14ac:dyDescent="0.35">
      <c r="A62" s="32" t="s">
        <v>165</v>
      </c>
      <c r="B62" s="37"/>
      <c r="C62" s="36"/>
      <c r="D62" s="28"/>
      <c r="E62" s="28"/>
      <c r="F62" s="28"/>
      <c r="G62" s="28"/>
      <c r="H62" s="59" t="s">
        <v>264</v>
      </c>
      <c r="I62" s="59" t="s">
        <v>252</v>
      </c>
      <c r="J62" s="28"/>
      <c r="K62" s="28"/>
      <c r="L62" s="28"/>
    </row>
    <row r="63" spans="1:12" x14ac:dyDescent="0.35">
      <c r="A63" s="225" t="s">
        <v>167</v>
      </c>
      <c r="B63" s="63"/>
      <c r="C63" s="105">
        <f>IFERROR(C60-C59,"")</f>
        <v>0</v>
      </c>
      <c r="D63" s="105">
        <f t="shared" ref="D63:L63" si="13">IFERROR(D60-D59,"")</f>
        <v>0</v>
      </c>
      <c r="E63" s="105">
        <f t="shared" si="13"/>
        <v>0</v>
      </c>
      <c r="F63" s="105">
        <f t="shared" si="13"/>
        <v>0</v>
      </c>
      <c r="G63" s="105">
        <f t="shared" si="13"/>
        <v>0</v>
      </c>
      <c r="H63" s="105">
        <f t="shared" si="13"/>
        <v>7143.2109375</v>
      </c>
      <c r="I63" s="105">
        <f t="shared" si="13"/>
        <v>1071</v>
      </c>
      <c r="J63" s="105">
        <f t="shared" si="13"/>
        <v>0</v>
      </c>
      <c r="K63" s="105">
        <f t="shared" si="13"/>
        <v>0</v>
      </c>
      <c r="L63" s="105">
        <f t="shared" si="13"/>
        <v>0</v>
      </c>
    </row>
    <row r="64" spans="1:12" ht="16.399999999999999" customHeight="1" x14ac:dyDescent="0.35">
      <c r="A64" s="65" t="s">
        <v>2</v>
      </c>
      <c r="B64" s="66"/>
      <c r="C64" s="103">
        <f>AVERAGE(C63,C56,C49,C42,C35,C28,C21,C14)</f>
        <v>4210.875</v>
      </c>
      <c r="D64" s="103">
        <f t="shared" ref="D64:L64" si="14">AVERAGE(D63,D56,D49,D42,D35,D28,D21,D14)</f>
        <v>3504.25</v>
      </c>
      <c r="E64" s="103">
        <f t="shared" si="14"/>
        <v>5037.375</v>
      </c>
      <c r="F64" s="103">
        <f t="shared" si="14"/>
        <v>0</v>
      </c>
      <c r="G64" s="103">
        <f t="shared" si="14"/>
        <v>5037.375</v>
      </c>
      <c r="H64" s="103">
        <f t="shared" si="14"/>
        <v>4157.375</v>
      </c>
      <c r="I64" s="103">
        <f t="shared" si="14"/>
        <v>4835.5</v>
      </c>
      <c r="J64" s="103">
        <f t="shared" si="14"/>
        <v>3504.25</v>
      </c>
      <c r="K64" s="103">
        <f t="shared" si="14"/>
        <v>0</v>
      </c>
      <c r="L64" s="103">
        <f t="shared" si="14"/>
        <v>4593.25</v>
      </c>
    </row>
    <row r="65" spans="1:12" x14ac:dyDescent="0.35">
      <c r="A65" s="21" t="s">
        <v>159</v>
      </c>
      <c r="B65" s="22"/>
      <c r="C65" s="91"/>
      <c r="D65" s="25"/>
      <c r="E65" s="25"/>
      <c r="F65" s="25"/>
      <c r="G65" s="24"/>
      <c r="H65" s="77">
        <v>43853</v>
      </c>
      <c r="I65" s="59" t="s">
        <v>249</v>
      </c>
      <c r="J65" s="25"/>
      <c r="K65" s="25"/>
      <c r="L65" s="25"/>
    </row>
    <row r="66" spans="1:12" x14ac:dyDescent="0.35">
      <c r="A66" s="26" t="s">
        <v>161</v>
      </c>
      <c r="B66" s="27" t="s">
        <v>162</v>
      </c>
      <c r="C66" s="36"/>
      <c r="D66" s="28"/>
      <c r="E66" s="28"/>
      <c r="F66" s="28"/>
      <c r="G66" s="28"/>
      <c r="H66" s="59">
        <v>33259</v>
      </c>
      <c r="I66" s="59">
        <v>33687</v>
      </c>
      <c r="J66" s="28"/>
      <c r="K66" s="28"/>
      <c r="L66" s="28"/>
    </row>
    <row r="67" spans="1:12" x14ac:dyDescent="0.35">
      <c r="A67" s="26" t="s">
        <v>161</v>
      </c>
      <c r="B67" s="27" t="s">
        <v>163</v>
      </c>
      <c r="C67" s="29"/>
      <c r="D67" s="28"/>
      <c r="E67" s="28"/>
      <c r="F67" s="28"/>
      <c r="G67" s="28"/>
      <c r="H67" s="59">
        <v>34201</v>
      </c>
      <c r="I67" s="59">
        <v>39480</v>
      </c>
      <c r="J67" s="28"/>
      <c r="K67" s="28"/>
      <c r="L67" s="28"/>
    </row>
    <row r="68" spans="1:12" x14ac:dyDescent="0.35">
      <c r="A68" s="26" t="s">
        <v>164</v>
      </c>
      <c r="B68" s="27"/>
      <c r="C68" s="36"/>
      <c r="D68" s="28"/>
      <c r="E68" s="28"/>
      <c r="F68" s="28"/>
      <c r="G68" s="28"/>
      <c r="H68" s="77">
        <v>44129</v>
      </c>
      <c r="I68" s="59" t="s">
        <v>251</v>
      </c>
      <c r="J68" s="28"/>
      <c r="K68" s="28"/>
      <c r="L68" s="28"/>
    </row>
    <row r="69" spans="1:12" x14ac:dyDescent="0.35">
      <c r="A69" s="32" t="s">
        <v>165</v>
      </c>
      <c r="B69" s="37"/>
      <c r="C69" s="36"/>
      <c r="D69" s="28"/>
      <c r="E69" s="28"/>
      <c r="F69" s="28"/>
      <c r="G69" s="28"/>
      <c r="H69" s="59" t="s">
        <v>264</v>
      </c>
      <c r="I69" s="59" t="s">
        <v>416</v>
      </c>
      <c r="J69" s="28"/>
      <c r="K69" s="28"/>
      <c r="L69" s="28"/>
    </row>
    <row r="70" spans="1:12" x14ac:dyDescent="0.35">
      <c r="A70" s="225" t="s">
        <v>167</v>
      </c>
      <c r="B70" s="63"/>
      <c r="C70" s="105">
        <f>IFERROR(C67-C66,"")</f>
        <v>0</v>
      </c>
      <c r="D70" s="105">
        <f t="shared" ref="D70:L70" si="15">IFERROR(D67-D66,"")</f>
        <v>0</v>
      </c>
      <c r="E70" s="105">
        <f t="shared" si="15"/>
        <v>0</v>
      </c>
      <c r="F70" s="105">
        <f t="shared" si="15"/>
        <v>0</v>
      </c>
      <c r="G70" s="105">
        <f t="shared" si="15"/>
        <v>0</v>
      </c>
      <c r="H70" s="105">
        <f t="shared" si="15"/>
        <v>942</v>
      </c>
      <c r="I70" s="105">
        <f t="shared" si="15"/>
        <v>5793</v>
      </c>
      <c r="J70" s="105">
        <f t="shared" si="15"/>
        <v>0</v>
      </c>
      <c r="K70" s="105">
        <f t="shared" si="15"/>
        <v>0</v>
      </c>
      <c r="L70" s="105">
        <f t="shared" si="15"/>
        <v>0</v>
      </c>
    </row>
    <row r="71" spans="1:12" ht="16.399999999999999" customHeight="1" x14ac:dyDescent="0.35">
      <c r="A71" s="65" t="s">
        <v>2</v>
      </c>
      <c r="B71" s="66"/>
      <c r="C71" s="103">
        <f>AVERAGE(C70,C63,C56,C49,C42,C35,C28,C21,C14)</f>
        <v>3743</v>
      </c>
      <c r="D71" s="103">
        <f t="shared" ref="D71:L71" si="16">AVERAGE(D70,D63,D56,D49,D42,D35,D28,D21,D14)</f>
        <v>3114.8888888888887</v>
      </c>
      <c r="E71" s="103">
        <f t="shared" si="16"/>
        <v>4477.666666666667</v>
      </c>
      <c r="F71" s="103">
        <f t="shared" si="16"/>
        <v>0</v>
      </c>
      <c r="G71" s="103">
        <f t="shared" si="16"/>
        <v>4477.666666666667</v>
      </c>
      <c r="H71" s="103">
        <f t="shared" si="16"/>
        <v>3800.1111111111113</v>
      </c>
      <c r="I71" s="103">
        <f t="shared" si="16"/>
        <v>4941.8888888888887</v>
      </c>
      <c r="J71" s="103">
        <f t="shared" si="16"/>
        <v>3114.8888888888887</v>
      </c>
      <c r="K71" s="103">
        <f t="shared" si="16"/>
        <v>0</v>
      </c>
      <c r="L71" s="103">
        <f t="shared" si="16"/>
        <v>4082.8888888888887</v>
      </c>
    </row>
    <row r="72" spans="1:12" x14ac:dyDescent="0.35">
      <c r="A72" s="21" t="s">
        <v>159</v>
      </c>
      <c r="B72" s="22"/>
      <c r="C72" s="91"/>
      <c r="D72" s="25"/>
      <c r="E72" s="25"/>
      <c r="F72" s="25"/>
      <c r="G72" s="24"/>
      <c r="H72" s="77">
        <v>44129</v>
      </c>
      <c r="I72" s="59"/>
      <c r="J72" s="25"/>
      <c r="K72" s="25"/>
      <c r="L72" s="25"/>
    </row>
    <row r="73" spans="1:12" x14ac:dyDescent="0.35">
      <c r="A73" s="26" t="s">
        <v>161</v>
      </c>
      <c r="B73" s="27" t="s">
        <v>162</v>
      </c>
      <c r="C73" s="36"/>
      <c r="D73" s="28"/>
      <c r="E73" s="28"/>
      <c r="F73" s="28"/>
      <c r="G73" s="28"/>
      <c r="H73" s="59">
        <v>34201</v>
      </c>
      <c r="I73" s="59"/>
      <c r="J73" s="28"/>
      <c r="K73" s="28"/>
      <c r="L73" s="28"/>
    </row>
    <row r="74" spans="1:12" x14ac:dyDescent="0.35">
      <c r="A74" s="26" t="s">
        <v>161</v>
      </c>
      <c r="B74" s="27" t="s">
        <v>163</v>
      </c>
      <c r="C74" s="29"/>
      <c r="D74" s="28"/>
      <c r="E74" s="28"/>
      <c r="F74" s="28"/>
      <c r="G74" s="28"/>
      <c r="H74" s="77">
        <v>32616</v>
      </c>
      <c r="I74" s="59"/>
      <c r="J74" s="28"/>
      <c r="K74" s="28"/>
      <c r="L74" s="28"/>
    </row>
    <row r="75" spans="1:12" x14ac:dyDescent="0.35">
      <c r="A75" s="26" t="s">
        <v>164</v>
      </c>
      <c r="B75" s="27"/>
      <c r="C75" s="36"/>
      <c r="D75" s="28"/>
      <c r="E75" s="28"/>
      <c r="F75" s="28"/>
      <c r="G75" s="28"/>
      <c r="H75" s="59" t="s">
        <v>255</v>
      </c>
      <c r="I75" s="59"/>
      <c r="J75" s="28"/>
      <c r="K75" s="28"/>
      <c r="L75" s="28"/>
    </row>
    <row r="76" spans="1:12" x14ac:dyDescent="0.35">
      <c r="A76" s="32" t="s">
        <v>165</v>
      </c>
      <c r="B76" s="37"/>
      <c r="C76" s="36"/>
      <c r="D76" s="28"/>
      <c r="E76" s="28"/>
      <c r="F76" s="28"/>
      <c r="G76" s="28"/>
      <c r="H76" s="59" t="s">
        <v>273</v>
      </c>
      <c r="I76" s="59"/>
      <c r="J76" s="28"/>
      <c r="K76" s="28"/>
      <c r="L76" s="28"/>
    </row>
    <row r="77" spans="1:12" x14ac:dyDescent="0.35">
      <c r="A77" s="225" t="s">
        <v>167</v>
      </c>
      <c r="B77" s="63"/>
      <c r="C77" s="105">
        <f>IFERROR(C74-C73,"")</f>
        <v>0</v>
      </c>
      <c r="D77" s="105">
        <f t="shared" ref="D77:L77" si="17">IFERROR(D74-D73,"")</f>
        <v>0</v>
      </c>
      <c r="E77" s="105">
        <f t="shared" si="17"/>
        <v>0</v>
      </c>
      <c r="F77" s="105">
        <f t="shared" si="17"/>
        <v>0</v>
      </c>
      <c r="G77" s="105">
        <f t="shared" si="17"/>
        <v>0</v>
      </c>
      <c r="H77" s="105">
        <f t="shared" si="17"/>
        <v>-1585</v>
      </c>
      <c r="I77" s="105">
        <f t="shared" si="17"/>
        <v>0</v>
      </c>
      <c r="J77" s="105">
        <f t="shared" si="17"/>
        <v>0</v>
      </c>
      <c r="K77" s="105">
        <f t="shared" si="17"/>
        <v>0</v>
      </c>
      <c r="L77" s="105">
        <f t="shared" si="17"/>
        <v>0</v>
      </c>
    </row>
    <row r="78" spans="1:12" ht="16.399999999999999" customHeight="1" x14ac:dyDescent="0.35">
      <c r="A78" s="65" t="s">
        <v>2</v>
      </c>
      <c r="B78" s="66"/>
      <c r="C78" s="103">
        <f>AVERAGE(C77,C70,C63,C56,C49,C42,C35,C28,C21,C14)</f>
        <v>3368.7</v>
      </c>
      <c r="D78" s="103">
        <f t="shared" ref="D78:L78" si="18">AVERAGE(D77,D70,D63,D56,D49,D42,D35,D28,D21,D14)</f>
        <v>2803.4</v>
      </c>
      <c r="E78" s="103">
        <f t="shared" si="18"/>
        <v>4029.9</v>
      </c>
      <c r="F78" s="103">
        <f t="shared" si="18"/>
        <v>0</v>
      </c>
      <c r="G78" s="103">
        <f t="shared" si="18"/>
        <v>4029.9</v>
      </c>
      <c r="H78" s="103">
        <f t="shared" si="18"/>
        <v>3261.6</v>
      </c>
      <c r="I78" s="103">
        <f t="shared" si="18"/>
        <v>4447.7</v>
      </c>
      <c r="J78" s="103">
        <f t="shared" si="18"/>
        <v>2803.4</v>
      </c>
      <c r="K78" s="103">
        <f t="shared" si="18"/>
        <v>0</v>
      </c>
      <c r="L78" s="103">
        <f t="shared" si="18"/>
        <v>3674.6</v>
      </c>
    </row>
    <row r="79" spans="1:12" x14ac:dyDescent="0.35">
      <c r="A79" s="21" t="s">
        <v>159</v>
      </c>
      <c r="B79" s="22"/>
      <c r="C79" s="91"/>
      <c r="D79" s="25"/>
      <c r="E79" s="25"/>
      <c r="F79" s="25"/>
      <c r="G79" s="24"/>
      <c r="H79" s="77" t="s">
        <v>255</v>
      </c>
      <c r="I79" s="59"/>
      <c r="J79" s="25"/>
      <c r="K79" s="25"/>
      <c r="L79" s="25"/>
    </row>
    <row r="80" spans="1:12" x14ac:dyDescent="0.35">
      <c r="A80" s="26" t="s">
        <v>161</v>
      </c>
      <c r="B80" s="27" t="s">
        <v>162</v>
      </c>
      <c r="C80" s="36"/>
      <c r="D80" s="28"/>
      <c r="E80" s="28"/>
      <c r="F80" s="28"/>
      <c r="G80" s="28"/>
      <c r="H80" s="77">
        <v>32616</v>
      </c>
      <c r="I80" s="59"/>
      <c r="J80" s="28"/>
      <c r="K80" s="28"/>
      <c r="L80" s="28"/>
    </row>
    <row r="81" spans="1:12" x14ac:dyDescent="0.35">
      <c r="A81" s="26" t="s">
        <v>161</v>
      </c>
      <c r="B81" s="27" t="s">
        <v>163</v>
      </c>
      <c r="C81" s="29"/>
      <c r="D81" s="28"/>
      <c r="E81" s="28"/>
      <c r="F81" s="28"/>
      <c r="G81" s="28"/>
      <c r="H81" s="77">
        <v>33687</v>
      </c>
      <c r="I81" s="59"/>
      <c r="J81" s="28"/>
      <c r="K81" s="28"/>
      <c r="L81" s="28"/>
    </row>
    <row r="82" spans="1:12" x14ac:dyDescent="0.35">
      <c r="A82" s="26" t="s">
        <v>164</v>
      </c>
      <c r="B82" s="27"/>
      <c r="C82" s="36"/>
      <c r="D82" s="28"/>
      <c r="E82" s="28"/>
      <c r="F82" s="28"/>
      <c r="G82" s="28"/>
      <c r="H82" s="59" t="s">
        <v>249</v>
      </c>
      <c r="I82" s="59"/>
      <c r="J82" s="28"/>
      <c r="K82" s="28"/>
      <c r="L82" s="28"/>
    </row>
    <row r="83" spans="1:12" x14ac:dyDescent="0.35">
      <c r="A83" s="32" t="s">
        <v>165</v>
      </c>
      <c r="B83" s="37"/>
      <c r="C83" s="36"/>
      <c r="D83" s="28"/>
      <c r="E83" s="28"/>
      <c r="F83" s="28"/>
      <c r="G83" s="28"/>
      <c r="H83" s="59" t="s">
        <v>252</v>
      </c>
      <c r="I83" s="59"/>
      <c r="J83" s="28"/>
      <c r="K83" s="28"/>
      <c r="L83" s="28"/>
    </row>
    <row r="84" spans="1:12" x14ac:dyDescent="0.35">
      <c r="A84" s="225" t="s">
        <v>167</v>
      </c>
      <c r="B84" s="63"/>
      <c r="C84" s="105">
        <f>IFERROR(C81-C80,"")</f>
        <v>0</v>
      </c>
      <c r="D84" s="105">
        <f t="shared" ref="D84:L84" si="19">IFERROR(D81-D80,"")</f>
        <v>0</v>
      </c>
      <c r="E84" s="105">
        <f t="shared" si="19"/>
        <v>0</v>
      </c>
      <c r="F84" s="105">
        <f t="shared" si="19"/>
        <v>0</v>
      </c>
      <c r="G84" s="105">
        <f t="shared" si="19"/>
        <v>0</v>
      </c>
      <c r="H84" s="105">
        <f t="shared" si="19"/>
        <v>1071</v>
      </c>
      <c r="I84" s="105">
        <f t="shared" si="19"/>
        <v>0</v>
      </c>
      <c r="J84" s="105">
        <f t="shared" si="19"/>
        <v>0</v>
      </c>
      <c r="K84" s="105">
        <f t="shared" si="19"/>
        <v>0</v>
      </c>
      <c r="L84" s="105">
        <f t="shared" si="19"/>
        <v>0</v>
      </c>
    </row>
    <row r="85" spans="1:12" ht="16.399999999999999" customHeight="1" x14ac:dyDescent="0.35">
      <c r="A85" s="65" t="s">
        <v>2</v>
      </c>
      <c r="B85" s="66"/>
      <c r="C85" s="103">
        <f>AVERAGE(C84,C77,C70,C63,C56,C49,C42,C35,C28,C21,C14)</f>
        <v>3062.4545454545455</v>
      </c>
      <c r="D85" s="103">
        <f t="shared" ref="D85:L85" si="20">AVERAGE(D84,D77,D70,D63,D56,D49,D42,D35,D28,D21,D14)</f>
        <v>2548.5454545454545</v>
      </c>
      <c r="E85" s="103">
        <f t="shared" si="20"/>
        <v>3663.5454545454545</v>
      </c>
      <c r="F85" s="103">
        <f t="shared" si="20"/>
        <v>0</v>
      </c>
      <c r="G85" s="103">
        <f t="shared" si="20"/>
        <v>3663.5454545454545</v>
      </c>
      <c r="H85" s="103">
        <f t="shared" si="20"/>
        <v>3062.4545454545455</v>
      </c>
      <c r="I85" s="103">
        <f t="shared" si="20"/>
        <v>4043.3636363636365</v>
      </c>
      <c r="J85" s="103">
        <f t="shared" si="20"/>
        <v>2548.5454545454545</v>
      </c>
      <c r="K85" s="103">
        <f t="shared" si="20"/>
        <v>0</v>
      </c>
      <c r="L85" s="103">
        <f t="shared" si="20"/>
        <v>3340.5454545454545</v>
      </c>
    </row>
    <row r="86" spans="1:12" x14ac:dyDescent="0.35">
      <c r="A86" s="21" t="s">
        <v>159</v>
      </c>
      <c r="B86" s="22"/>
      <c r="C86" s="91"/>
      <c r="D86" s="25"/>
      <c r="E86" s="25"/>
      <c r="F86" s="25"/>
      <c r="G86" s="24"/>
      <c r="H86" s="77" t="s">
        <v>249</v>
      </c>
      <c r="I86" s="59"/>
      <c r="J86" s="25"/>
      <c r="K86" s="25"/>
      <c r="L86" s="25"/>
    </row>
    <row r="87" spans="1:12" x14ac:dyDescent="0.35">
      <c r="A87" s="26" t="s">
        <v>161</v>
      </c>
      <c r="B87" s="27" t="s">
        <v>162</v>
      </c>
      <c r="C87" s="36"/>
      <c r="D87" s="28"/>
      <c r="E87" s="28"/>
      <c r="F87" s="28"/>
      <c r="G87" s="28"/>
      <c r="H87" s="77">
        <v>33687</v>
      </c>
      <c r="I87" s="59"/>
      <c r="J87" s="28"/>
      <c r="K87" s="28"/>
      <c r="L87" s="28"/>
    </row>
    <row r="88" spans="1:12" x14ac:dyDescent="0.35">
      <c r="A88" s="26" t="s">
        <v>161</v>
      </c>
      <c r="B88" s="27" t="s">
        <v>163</v>
      </c>
      <c r="C88" s="29"/>
      <c r="D88" s="28"/>
      <c r="E88" s="28"/>
      <c r="F88" s="28"/>
      <c r="G88" s="28"/>
      <c r="H88" s="77">
        <v>36746</v>
      </c>
      <c r="I88" s="59"/>
      <c r="J88" s="28"/>
      <c r="K88" s="28"/>
      <c r="L88" s="28"/>
    </row>
    <row r="89" spans="1:12" x14ac:dyDescent="0.35">
      <c r="A89" s="26" t="s">
        <v>164</v>
      </c>
      <c r="B89" s="27"/>
      <c r="C89" s="36"/>
      <c r="D89" s="28"/>
      <c r="E89" s="28"/>
      <c r="F89" s="28"/>
      <c r="G89" s="28"/>
      <c r="H89" s="59" t="s">
        <v>271</v>
      </c>
      <c r="I89" s="59"/>
      <c r="J89" s="28"/>
      <c r="K89" s="28"/>
      <c r="L89" s="28"/>
    </row>
    <row r="90" spans="1:12" x14ac:dyDescent="0.35">
      <c r="A90" s="32" t="s">
        <v>165</v>
      </c>
      <c r="B90" s="37"/>
      <c r="C90" s="36"/>
      <c r="D90" s="28"/>
      <c r="E90" s="28"/>
      <c r="F90" s="28"/>
      <c r="G90" s="28"/>
      <c r="H90" s="59"/>
      <c r="I90" s="59"/>
      <c r="J90" s="28"/>
      <c r="K90" s="28"/>
      <c r="L90" s="28"/>
    </row>
    <row r="91" spans="1:12" x14ac:dyDescent="0.35">
      <c r="A91" s="225" t="s">
        <v>167</v>
      </c>
      <c r="B91" s="63"/>
      <c r="C91" s="105">
        <f>IFERROR(C88-C87,"")</f>
        <v>0</v>
      </c>
      <c r="D91" s="105">
        <f t="shared" ref="D91:L91" si="21">IFERROR(D88-D87,"")</f>
        <v>0</v>
      </c>
      <c r="E91" s="105">
        <f t="shared" si="21"/>
        <v>0</v>
      </c>
      <c r="F91" s="105">
        <f t="shared" si="21"/>
        <v>0</v>
      </c>
      <c r="G91" s="105">
        <f t="shared" si="21"/>
        <v>0</v>
      </c>
      <c r="H91" s="105">
        <f t="shared" si="21"/>
        <v>3059</v>
      </c>
      <c r="I91" s="105">
        <f t="shared" si="21"/>
        <v>0</v>
      </c>
      <c r="J91" s="105">
        <f t="shared" si="21"/>
        <v>0</v>
      </c>
      <c r="K91" s="105">
        <f t="shared" si="21"/>
        <v>0</v>
      </c>
      <c r="L91" s="105">
        <f t="shared" si="21"/>
        <v>0</v>
      </c>
    </row>
    <row r="92" spans="1:12" ht="16.399999999999999" customHeight="1" x14ac:dyDescent="0.35">
      <c r="A92" s="65" t="s">
        <v>2</v>
      </c>
      <c r="B92" s="66"/>
      <c r="C92" s="103">
        <f>AVERAGE(C91,C84,C77,C70,C63,C56,C49,C42,C35,C28,C21,C14)</f>
        <v>2807.25</v>
      </c>
      <c r="D92" s="103">
        <f t="shared" ref="D92:L92" si="22">AVERAGE(D91,D84,D77,D70,D63,D56,D49,D42,D35,D28,D21,D14)</f>
        <v>2336.1666666666665</v>
      </c>
      <c r="E92" s="103">
        <f t="shared" si="22"/>
        <v>3358.25</v>
      </c>
      <c r="F92" s="103">
        <f t="shared" si="22"/>
        <v>0</v>
      </c>
      <c r="G92" s="103">
        <f t="shared" si="22"/>
        <v>3358.25</v>
      </c>
      <c r="H92" s="103">
        <f t="shared" si="22"/>
        <v>3062.1666666666665</v>
      </c>
      <c r="I92" s="103">
        <f t="shared" si="22"/>
        <v>3706.4166666666665</v>
      </c>
      <c r="J92" s="103">
        <f t="shared" si="22"/>
        <v>2336.1666666666665</v>
      </c>
      <c r="K92" s="103">
        <f t="shared" si="22"/>
        <v>0</v>
      </c>
      <c r="L92" s="103">
        <f t="shared" si="22"/>
        <v>3062.1666666666665</v>
      </c>
    </row>
    <row r="93" spans="1:12" x14ac:dyDescent="0.35">
      <c r="A93" s="21" t="s">
        <v>159</v>
      </c>
      <c r="B93" s="22"/>
      <c r="C93" s="91"/>
      <c r="D93" s="25"/>
      <c r="E93" s="25"/>
      <c r="F93" s="25"/>
      <c r="G93" s="24"/>
      <c r="H93" s="77" t="s">
        <v>271</v>
      </c>
      <c r="I93" s="59"/>
      <c r="J93" s="25"/>
      <c r="K93" s="25"/>
      <c r="L93" s="25"/>
    </row>
    <row r="94" spans="1:12" x14ac:dyDescent="0.35">
      <c r="A94" s="26" t="s">
        <v>161</v>
      </c>
      <c r="B94" s="27" t="s">
        <v>162</v>
      </c>
      <c r="C94" s="36"/>
      <c r="D94" s="28"/>
      <c r="E94" s="28"/>
      <c r="F94" s="28"/>
      <c r="G94" s="28"/>
      <c r="H94" s="77">
        <v>36746</v>
      </c>
      <c r="I94" s="59"/>
      <c r="J94" s="28"/>
      <c r="K94" s="28"/>
      <c r="L94" s="28"/>
    </row>
    <row r="95" spans="1:12" x14ac:dyDescent="0.35">
      <c r="A95" s="26" t="s">
        <v>161</v>
      </c>
      <c r="B95" s="27" t="s">
        <v>163</v>
      </c>
      <c r="C95" s="29"/>
      <c r="D95" s="28"/>
      <c r="E95" s="28"/>
      <c r="F95" s="28"/>
      <c r="G95" s="28"/>
      <c r="H95" s="77">
        <v>39480</v>
      </c>
      <c r="I95" s="59"/>
      <c r="J95" s="28"/>
      <c r="K95" s="28"/>
      <c r="L95" s="28"/>
    </row>
    <row r="96" spans="1:12" x14ac:dyDescent="0.35">
      <c r="A96" s="26" t="s">
        <v>164</v>
      </c>
      <c r="B96" s="27"/>
      <c r="C96" s="36"/>
      <c r="D96" s="28"/>
      <c r="E96" s="28"/>
      <c r="F96" s="28"/>
      <c r="G96" s="28"/>
      <c r="H96" s="59" t="s">
        <v>251</v>
      </c>
      <c r="I96" s="59"/>
      <c r="J96" s="28"/>
      <c r="K96" s="28"/>
      <c r="L96" s="28"/>
    </row>
    <row r="97" spans="1:12" x14ac:dyDescent="0.35">
      <c r="A97" s="32" t="s">
        <v>165</v>
      </c>
      <c r="B97" s="37"/>
      <c r="C97" s="36"/>
      <c r="D97" s="28"/>
      <c r="E97" s="28"/>
      <c r="F97" s="28"/>
      <c r="G97" s="28"/>
      <c r="H97" s="59" t="s">
        <v>416</v>
      </c>
      <c r="I97" s="59"/>
      <c r="J97" s="28"/>
      <c r="K97" s="28"/>
      <c r="L97" s="28"/>
    </row>
    <row r="98" spans="1:12" x14ac:dyDescent="0.35">
      <c r="A98" s="225" t="s">
        <v>167</v>
      </c>
      <c r="B98" s="63"/>
      <c r="C98" s="105">
        <f>IFERROR(C95-C94,"")</f>
        <v>0</v>
      </c>
      <c r="D98" s="105">
        <f t="shared" ref="D98:L98" si="23">IFERROR(D95-D94,"")</f>
        <v>0</v>
      </c>
      <c r="E98" s="105">
        <f t="shared" si="23"/>
        <v>0</v>
      </c>
      <c r="F98" s="105">
        <f t="shared" si="23"/>
        <v>0</v>
      </c>
      <c r="G98" s="105">
        <f t="shared" si="23"/>
        <v>0</v>
      </c>
      <c r="H98" s="105">
        <f t="shared" si="23"/>
        <v>2734</v>
      </c>
      <c r="I98" s="105">
        <f t="shared" si="23"/>
        <v>0</v>
      </c>
      <c r="J98" s="105">
        <f t="shared" si="23"/>
        <v>0</v>
      </c>
      <c r="K98" s="105">
        <f t="shared" si="23"/>
        <v>0</v>
      </c>
      <c r="L98" s="105">
        <f t="shared" si="23"/>
        <v>0</v>
      </c>
    </row>
    <row r="99" spans="1:12" ht="16.399999999999999" customHeight="1" x14ac:dyDescent="0.35">
      <c r="A99" s="65" t="s">
        <v>2</v>
      </c>
      <c r="B99" s="66"/>
      <c r="C99" s="103">
        <f>AVERAGE(C98,C91,C84,C77,C70,C63,C56,C49,C42,C35,C28,C21,C14)</f>
        <v>2591.3076923076924</v>
      </c>
      <c r="D99" s="103">
        <f t="shared" ref="D99:L99" si="24">AVERAGE(D98,D91,D84,D77,D70,D63,D56,D49,D42,D35,D28,D21,D14)</f>
        <v>2156.4615384615386</v>
      </c>
      <c r="E99" s="103">
        <f t="shared" si="24"/>
        <v>3099.9230769230771</v>
      </c>
      <c r="F99" s="103">
        <f t="shared" si="24"/>
        <v>0</v>
      </c>
      <c r="G99" s="103">
        <f t="shared" si="24"/>
        <v>3099.9230769230771</v>
      </c>
      <c r="H99" s="103">
        <f t="shared" si="24"/>
        <v>3036.9230769230771</v>
      </c>
      <c r="I99" s="103">
        <f t="shared" si="24"/>
        <v>3421.3076923076924</v>
      </c>
      <c r="J99" s="103">
        <f t="shared" si="24"/>
        <v>2156.4615384615386</v>
      </c>
      <c r="K99" s="103">
        <f t="shared" si="24"/>
        <v>0</v>
      </c>
      <c r="L99" s="103">
        <f t="shared" si="24"/>
        <v>2826.6153846153848</v>
      </c>
    </row>
    <row r="100" spans="1:12" x14ac:dyDescent="0.35">
      <c r="A100" s="21" t="s">
        <v>159</v>
      </c>
      <c r="B100" s="22"/>
      <c r="C100" s="91"/>
      <c r="D100" s="25"/>
      <c r="E100" s="25"/>
      <c r="F100" s="25"/>
      <c r="G100" s="24"/>
      <c r="H100" s="77"/>
      <c r="I100" s="59"/>
      <c r="J100" s="25"/>
      <c r="K100" s="25"/>
      <c r="L100" s="25"/>
    </row>
    <row r="101" spans="1:12" x14ac:dyDescent="0.35">
      <c r="A101" s="26" t="s">
        <v>161</v>
      </c>
      <c r="B101" s="27" t="s">
        <v>162</v>
      </c>
      <c r="C101" s="36"/>
      <c r="D101" s="28"/>
      <c r="E101" s="28"/>
      <c r="F101" s="28"/>
      <c r="G101" s="28"/>
      <c r="H101" s="59"/>
      <c r="I101" s="59"/>
      <c r="J101" s="28"/>
      <c r="K101" s="28"/>
      <c r="L101" s="28"/>
    </row>
    <row r="102" spans="1:12" x14ac:dyDescent="0.35">
      <c r="A102" s="26" t="s">
        <v>161</v>
      </c>
      <c r="B102" s="27" t="s">
        <v>163</v>
      </c>
      <c r="C102" s="29"/>
      <c r="D102" s="28"/>
      <c r="E102" s="28"/>
      <c r="F102" s="28"/>
      <c r="G102" s="28"/>
      <c r="H102" s="77"/>
      <c r="I102" s="59"/>
      <c r="J102" s="28"/>
      <c r="K102" s="28"/>
      <c r="L102" s="28"/>
    </row>
    <row r="103" spans="1:12" x14ac:dyDescent="0.35">
      <c r="A103" s="26" t="s">
        <v>164</v>
      </c>
      <c r="B103" s="27"/>
      <c r="C103" s="36"/>
      <c r="D103" s="28"/>
      <c r="E103" s="28"/>
      <c r="F103" s="28"/>
      <c r="G103" s="28"/>
      <c r="H103" s="59"/>
      <c r="I103" s="59"/>
      <c r="J103" s="28"/>
      <c r="K103" s="28"/>
      <c r="L103" s="28"/>
    </row>
    <row r="104" spans="1:12" x14ac:dyDescent="0.35">
      <c r="A104" s="32" t="s">
        <v>165</v>
      </c>
      <c r="B104" s="37"/>
      <c r="C104" s="36"/>
      <c r="D104" s="28"/>
      <c r="E104" s="28"/>
      <c r="F104" s="28"/>
      <c r="G104" s="28"/>
      <c r="H104" s="59"/>
      <c r="I104" s="59"/>
      <c r="J104" s="28"/>
      <c r="K104" s="28"/>
      <c r="L104" s="28"/>
    </row>
    <row r="105" spans="1:12" x14ac:dyDescent="0.35">
      <c r="A105" s="225" t="s">
        <v>167</v>
      </c>
      <c r="B105" s="63"/>
      <c r="C105" s="105">
        <f>IFERROR(C102-C101,"")</f>
        <v>0</v>
      </c>
      <c r="D105" s="105">
        <f t="shared" ref="D105:L105" si="25">IFERROR(D102-D101,"")</f>
        <v>0</v>
      </c>
      <c r="E105" s="105">
        <f t="shared" si="25"/>
        <v>0</v>
      </c>
      <c r="F105" s="105">
        <f t="shared" si="25"/>
        <v>0</v>
      </c>
      <c r="G105" s="105">
        <f t="shared" si="25"/>
        <v>0</v>
      </c>
      <c r="H105" s="105">
        <f t="shared" si="25"/>
        <v>0</v>
      </c>
      <c r="I105" s="105">
        <f t="shared" si="25"/>
        <v>0</v>
      </c>
      <c r="J105" s="105">
        <f t="shared" si="25"/>
        <v>0</v>
      </c>
      <c r="K105" s="105">
        <f t="shared" si="25"/>
        <v>0</v>
      </c>
      <c r="L105" s="105">
        <f t="shared" si="25"/>
        <v>0</v>
      </c>
    </row>
    <row r="106" spans="1:12" ht="16.399999999999999" customHeight="1" x14ac:dyDescent="0.35">
      <c r="A106" s="65" t="s">
        <v>2</v>
      </c>
      <c r="B106" s="66"/>
      <c r="C106" s="103">
        <f>AVERAGE(C105,C98,C91,C84,C77,C70,C63,C56,C49,C42,C35,C28,C21,C14)</f>
        <v>2406.2142857142858</v>
      </c>
      <c r="D106" s="103">
        <f t="shared" ref="D106:L106" si="26">AVERAGE(D105,D98,D91,D84,D77,D70,D63,D56,D49,D42,D35,D28,D21,D14)</f>
        <v>2002.4285714285713</v>
      </c>
      <c r="E106" s="103">
        <f t="shared" si="26"/>
        <v>2878.5</v>
      </c>
      <c r="F106" s="103">
        <f t="shared" si="26"/>
        <v>0</v>
      </c>
      <c r="G106" s="103">
        <f t="shared" si="26"/>
        <v>2878.5</v>
      </c>
      <c r="H106" s="103">
        <f t="shared" si="26"/>
        <v>2820</v>
      </c>
      <c r="I106" s="103">
        <f t="shared" si="26"/>
        <v>3176.9285714285716</v>
      </c>
      <c r="J106" s="103">
        <f t="shared" si="26"/>
        <v>2002.4285714285713</v>
      </c>
      <c r="K106" s="103">
        <f t="shared" si="26"/>
        <v>0</v>
      </c>
      <c r="L106" s="103">
        <f t="shared" si="26"/>
        <v>2624.7142857142858</v>
      </c>
    </row>
    <row r="107" spans="1:12" x14ac:dyDescent="0.35">
      <c r="A107" s="21" t="s">
        <v>159</v>
      </c>
      <c r="B107" s="22"/>
      <c r="C107" s="91"/>
      <c r="D107" s="25"/>
      <c r="E107" s="25"/>
      <c r="F107" s="25"/>
      <c r="G107" s="24"/>
      <c r="H107" s="77"/>
      <c r="I107" s="59"/>
      <c r="J107" s="25"/>
      <c r="K107" s="25"/>
      <c r="L107" s="25"/>
    </row>
    <row r="108" spans="1:12" x14ac:dyDescent="0.35">
      <c r="A108" s="26" t="s">
        <v>161</v>
      </c>
      <c r="B108" s="27" t="s">
        <v>162</v>
      </c>
      <c r="C108" s="36"/>
      <c r="D108" s="28"/>
      <c r="E108" s="28"/>
      <c r="F108" s="28"/>
      <c r="G108" s="28"/>
      <c r="H108" s="59"/>
      <c r="I108" s="59"/>
      <c r="J108" s="28"/>
      <c r="K108" s="28"/>
      <c r="L108" s="28"/>
    </row>
    <row r="109" spans="1:12" x14ac:dyDescent="0.35">
      <c r="A109" s="26" t="s">
        <v>161</v>
      </c>
      <c r="B109" s="27" t="s">
        <v>163</v>
      </c>
      <c r="C109" s="29"/>
      <c r="D109" s="28"/>
      <c r="E109" s="28"/>
      <c r="F109" s="28"/>
      <c r="G109" s="28"/>
      <c r="H109" s="77"/>
      <c r="I109" s="59"/>
      <c r="J109" s="28"/>
      <c r="K109" s="28"/>
      <c r="L109" s="28"/>
    </row>
    <row r="110" spans="1:12" x14ac:dyDescent="0.35">
      <c r="A110" s="26" t="s">
        <v>164</v>
      </c>
      <c r="B110" s="27"/>
      <c r="C110" s="36"/>
      <c r="D110" s="28"/>
      <c r="E110" s="28"/>
      <c r="F110" s="28"/>
      <c r="G110" s="28"/>
      <c r="H110" s="59"/>
      <c r="I110" s="59"/>
      <c r="J110" s="28"/>
      <c r="K110" s="28"/>
      <c r="L110" s="28"/>
    </row>
    <row r="111" spans="1:12" x14ac:dyDescent="0.35">
      <c r="A111" s="32" t="s">
        <v>165</v>
      </c>
      <c r="B111" s="37"/>
      <c r="C111" s="36"/>
      <c r="D111" s="28"/>
      <c r="E111" s="28"/>
      <c r="F111" s="28"/>
      <c r="G111" s="28"/>
      <c r="H111" s="59"/>
      <c r="I111" s="59"/>
      <c r="J111" s="28"/>
      <c r="K111" s="28"/>
      <c r="L111" s="28"/>
    </row>
    <row r="112" spans="1:12" x14ac:dyDescent="0.35">
      <c r="A112" s="225" t="s">
        <v>167</v>
      </c>
      <c r="B112" s="63"/>
      <c r="C112" s="105">
        <f>IFERROR(C109-C108,"")</f>
        <v>0</v>
      </c>
      <c r="D112" s="105">
        <f t="shared" ref="D112:L112" si="27">IFERROR(D109-D108,"")</f>
        <v>0</v>
      </c>
      <c r="E112" s="105">
        <f t="shared" si="27"/>
        <v>0</v>
      </c>
      <c r="F112" s="105">
        <f t="shared" si="27"/>
        <v>0</v>
      </c>
      <c r="G112" s="105">
        <f t="shared" si="27"/>
        <v>0</v>
      </c>
      <c r="H112" s="105">
        <f t="shared" si="27"/>
        <v>0</v>
      </c>
      <c r="I112" s="105">
        <f t="shared" si="27"/>
        <v>0</v>
      </c>
      <c r="J112" s="105">
        <f t="shared" si="27"/>
        <v>0</v>
      </c>
      <c r="K112" s="105">
        <f t="shared" si="27"/>
        <v>0</v>
      </c>
      <c r="L112" s="105">
        <f t="shared" si="27"/>
        <v>0</v>
      </c>
    </row>
    <row r="113" spans="1:12" ht="16.399999999999999" customHeight="1" x14ac:dyDescent="0.35">
      <c r="A113" s="65" t="s">
        <v>2</v>
      </c>
      <c r="B113" s="66"/>
      <c r="C113" s="103">
        <f>AVERAGE(C112,C105,C98,C91,C84,C77,C70,C63,C56,C49,C42,C35,C28,C21,C14)</f>
        <v>2245.8000000000002</v>
      </c>
      <c r="D113" s="103">
        <f t="shared" ref="D113:L113" si="28">AVERAGE(D112,D105,D98,D91,D84,D77,D70,D63,D56,D49,D42,D35,D28,D21,D14)</f>
        <v>1868.9333333333334</v>
      </c>
      <c r="E113" s="103">
        <f t="shared" si="28"/>
        <v>2686.6</v>
      </c>
      <c r="F113" s="103">
        <f t="shared" si="28"/>
        <v>0</v>
      </c>
      <c r="G113" s="103">
        <f t="shared" si="28"/>
        <v>2686.6</v>
      </c>
      <c r="H113" s="103">
        <f t="shared" si="28"/>
        <v>2632</v>
      </c>
      <c r="I113" s="103">
        <f t="shared" si="28"/>
        <v>2965.1333333333332</v>
      </c>
      <c r="J113" s="103">
        <f t="shared" si="28"/>
        <v>1868.9333333333334</v>
      </c>
      <c r="K113" s="103">
        <f t="shared" si="28"/>
        <v>0</v>
      </c>
      <c r="L113" s="103">
        <f t="shared" si="28"/>
        <v>2449.7333333333331</v>
      </c>
    </row>
    <row r="114" spans="1:12" x14ac:dyDescent="0.35">
      <c r="A114" s="21" t="s">
        <v>159</v>
      </c>
      <c r="B114" s="22"/>
      <c r="C114" s="91"/>
      <c r="D114" s="25"/>
      <c r="E114" s="25"/>
      <c r="F114" s="25"/>
      <c r="G114" s="24"/>
      <c r="H114" s="77"/>
      <c r="I114" s="59"/>
      <c r="J114" s="25"/>
      <c r="K114" s="25"/>
      <c r="L114" s="25"/>
    </row>
    <row r="115" spans="1:12" x14ac:dyDescent="0.35">
      <c r="A115" s="26" t="s">
        <v>161</v>
      </c>
      <c r="B115" s="27" t="s">
        <v>162</v>
      </c>
      <c r="C115" s="36"/>
      <c r="D115" s="28"/>
      <c r="E115" s="28"/>
      <c r="F115" s="28"/>
      <c r="G115" s="28"/>
      <c r="H115" s="59"/>
      <c r="I115" s="59"/>
      <c r="J115" s="28"/>
      <c r="K115" s="28"/>
      <c r="L115" s="28"/>
    </row>
    <row r="116" spans="1:12" x14ac:dyDescent="0.35">
      <c r="A116" s="26" t="s">
        <v>161</v>
      </c>
      <c r="B116" s="27" t="s">
        <v>163</v>
      </c>
      <c r="C116" s="29"/>
      <c r="D116" s="28"/>
      <c r="E116" s="28"/>
      <c r="F116" s="28"/>
      <c r="G116" s="28"/>
      <c r="H116" s="77"/>
      <c r="I116" s="59"/>
      <c r="J116" s="28"/>
      <c r="K116" s="28"/>
      <c r="L116" s="28"/>
    </row>
    <row r="117" spans="1:12" x14ac:dyDescent="0.35">
      <c r="A117" s="26" t="s">
        <v>164</v>
      </c>
      <c r="B117" s="27"/>
      <c r="C117" s="36"/>
      <c r="D117" s="28"/>
      <c r="E117" s="28"/>
      <c r="F117" s="28"/>
      <c r="G117" s="28"/>
      <c r="H117" s="59"/>
      <c r="I117" s="59"/>
      <c r="J117" s="28"/>
      <c r="K117" s="28"/>
      <c r="L117" s="28"/>
    </row>
    <row r="118" spans="1:12" x14ac:dyDescent="0.35">
      <c r="A118" s="32" t="s">
        <v>165</v>
      </c>
      <c r="B118" s="37"/>
      <c r="C118" s="36"/>
      <c r="D118" s="28"/>
      <c r="E118" s="28"/>
      <c r="F118" s="28"/>
      <c r="G118" s="28"/>
      <c r="H118" s="59"/>
      <c r="I118" s="59"/>
      <c r="J118" s="28"/>
      <c r="K118" s="28"/>
      <c r="L118" s="28"/>
    </row>
    <row r="119" spans="1:12" x14ac:dyDescent="0.35">
      <c r="A119" s="225" t="s">
        <v>167</v>
      </c>
      <c r="B119" s="63"/>
      <c r="C119" s="105">
        <f>IFERROR(C116-C115,"")</f>
        <v>0</v>
      </c>
      <c r="D119" s="105">
        <f t="shared" ref="D119:L119" si="29">IFERROR(D116-D115,"")</f>
        <v>0</v>
      </c>
      <c r="E119" s="105">
        <f t="shared" si="29"/>
        <v>0</v>
      </c>
      <c r="F119" s="105">
        <f t="shared" si="29"/>
        <v>0</v>
      </c>
      <c r="G119" s="105">
        <f t="shared" si="29"/>
        <v>0</v>
      </c>
      <c r="H119" s="105">
        <f t="shared" si="29"/>
        <v>0</v>
      </c>
      <c r="I119" s="105">
        <f t="shared" si="29"/>
        <v>0</v>
      </c>
      <c r="J119" s="105">
        <f t="shared" si="29"/>
        <v>0</v>
      </c>
      <c r="K119" s="105">
        <f t="shared" si="29"/>
        <v>0</v>
      </c>
      <c r="L119" s="105">
        <f t="shared" si="29"/>
        <v>0</v>
      </c>
    </row>
    <row r="120" spans="1:12" ht="16.399999999999999" customHeight="1" x14ac:dyDescent="0.35">
      <c r="A120" s="65" t="s">
        <v>2</v>
      </c>
      <c r="B120" s="66"/>
      <c r="C120" s="103">
        <f>AVERAGE(C119,C112,C105,C98,C91,C84,C77,C70,C63,C56,C49,C42,C35,C28,C21,C14)</f>
        <v>2105.4375</v>
      </c>
      <c r="D120" s="103">
        <f t="shared" ref="D120:L120" si="30">AVERAGE(D119,D112,D105,D98,D91,D84,D77,D70,D63,D56,D49,D42,D35,D28,D21,D14)</f>
        <v>1752.125</v>
      </c>
      <c r="E120" s="103">
        <f t="shared" si="30"/>
        <v>2518.6875</v>
      </c>
      <c r="F120" s="103">
        <f t="shared" si="30"/>
        <v>0</v>
      </c>
      <c r="G120" s="103">
        <f t="shared" si="30"/>
        <v>2518.6875</v>
      </c>
      <c r="H120" s="103">
        <f t="shared" si="30"/>
        <v>2467.5</v>
      </c>
      <c r="I120" s="103">
        <f t="shared" si="30"/>
        <v>2779.8125</v>
      </c>
      <c r="J120" s="103">
        <f t="shared" si="30"/>
        <v>1752.125</v>
      </c>
      <c r="K120" s="103">
        <f t="shared" si="30"/>
        <v>0</v>
      </c>
      <c r="L120" s="103">
        <f t="shared" si="30"/>
        <v>2296.625</v>
      </c>
    </row>
    <row r="121" spans="1:12" x14ac:dyDescent="0.35">
      <c r="A121" s="21" t="s">
        <v>159</v>
      </c>
      <c r="B121" s="22"/>
      <c r="C121" s="91"/>
      <c r="D121" s="25"/>
      <c r="E121" s="25"/>
      <c r="F121" s="25"/>
      <c r="G121" s="24"/>
      <c r="H121" s="77"/>
      <c r="I121" s="59"/>
      <c r="J121" s="25"/>
      <c r="K121" s="25"/>
      <c r="L121" s="25"/>
    </row>
    <row r="122" spans="1:12" x14ac:dyDescent="0.35">
      <c r="A122" s="26" t="s">
        <v>161</v>
      </c>
      <c r="B122" s="27" t="s">
        <v>162</v>
      </c>
      <c r="C122" s="36"/>
      <c r="D122" s="28"/>
      <c r="E122" s="28"/>
      <c r="F122" s="28"/>
      <c r="G122" s="28"/>
      <c r="H122" s="59"/>
      <c r="I122" s="59"/>
      <c r="J122" s="28"/>
      <c r="K122" s="28"/>
      <c r="L122" s="28"/>
    </row>
    <row r="123" spans="1:12" x14ac:dyDescent="0.35">
      <c r="A123" s="26" t="s">
        <v>161</v>
      </c>
      <c r="B123" s="27" t="s">
        <v>163</v>
      </c>
      <c r="C123" s="29"/>
      <c r="D123" s="28"/>
      <c r="E123" s="28"/>
      <c r="F123" s="28"/>
      <c r="G123" s="28"/>
      <c r="H123" s="77"/>
      <c r="I123" s="59"/>
      <c r="J123" s="28"/>
      <c r="K123" s="28"/>
      <c r="L123" s="28"/>
    </row>
    <row r="124" spans="1:12" x14ac:dyDescent="0.35">
      <c r="A124" s="26" t="s">
        <v>164</v>
      </c>
      <c r="B124" s="27"/>
      <c r="C124" s="36"/>
      <c r="D124" s="28"/>
      <c r="E124" s="28"/>
      <c r="F124" s="28"/>
      <c r="G124" s="28"/>
      <c r="H124" s="59"/>
      <c r="I124" s="59"/>
      <c r="J124" s="28"/>
      <c r="K124" s="28"/>
      <c r="L124" s="28"/>
    </row>
    <row r="125" spans="1:12" x14ac:dyDescent="0.35">
      <c r="A125" s="32" t="s">
        <v>165</v>
      </c>
      <c r="B125" s="37"/>
      <c r="C125" s="36"/>
      <c r="D125" s="28"/>
      <c r="E125" s="28"/>
      <c r="F125" s="28"/>
      <c r="G125" s="28"/>
      <c r="H125" s="59"/>
      <c r="I125" s="59"/>
      <c r="J125" s="28"/>
      <c r="K125" s="28"/>
      <c r="L125" s="28"/>
    </row>
    <row r="126" spans="1:12" x14ac:dyDescent="0.35">
      <c r="A126" s="225" t="s">
        <v>167</v>
      </c>
      <c r="B126" s="63"/>
      <c r="C126" s="105">
        <f>IFERROR(C123-C122,"")</f>
        <v>0</v>
      </c>
      <c r="D126" s="105">
        <f t="shared" ref="D126:L126" si="31">IFERROR(D123-D122,"")</f>
        <v>0</v>
      </c>
      <c r="E126" s="105">
        <f t="shared" si="31"/>
        <v>0</v>
      </c>
      <c r="F126" s="105">
        <f t="shared" si="31"/>
        <v>0</v>
      </c>
      <c r="G126" s="105">
        <f t="shared" si="31"/>
        <v>0</v>
      </c>
      <c r="H126" s="105">
        <f t="shared" si="31"/>
        <v>0</v>
      </c>
      <c r="I126" s="105">
        <f t="shared" si="31"/>
        <v>0</v>
      </c>
      <c r="J126" s="105">
        <f t="shared" si="31"/>
        <v>0</v>
      </c>
      <c r="K126" s="105">
        <f t="shared" si="31"/>
        <v>0</v>
      </c>
      <c r="L126" s="105">
        <f t="shared" si="31"/>
        <v>0</v>
      </c>
    </row>
    <row r="127" spans="1:12" ht="16.399999999999999" customHeight="1" x14ac:dyDescent="0.35">
      <c r="A127" s="65" t="s">
        <v>2</v>
      </c>
      <c r="B127" s="66"/>
      <c r="C127" s="103">
        <f>AVERAGE(C126,C119,C112,C105,C98,C91,C84,C77,C70,C63,C56,C49,C42,C35,C28,C21,C14)</f>
        <v>1981.5882352941176</v>
      </c>
      <c r="D127" s="103">
        <f t="shared" ref="D127:L127" si="32">AVERAGE(D126,D119,D112,D105,D98,D91,D84,D77,D70,D63,D56,D49,D42,D35,D28,D21,D14)</f>
        <v>1649.0588235294117</v>
      </c>
      <c r="E127" s="103">
        <f t="shared" si="32"/>
        <v>2370.5294117647059</v>
      </c>
      <c r="F127" s="103">
        <f t="shared" si="32"/>
        <v>0</v>
      </c>
      <c r="G127" s="103">
        <f t="shared" si="32"/>
        <v>2370.5294117647059</v>
      </c>
      <c r="H127" s="103">
        <f t="shared" si="32"/>
        <v>2322.3529411764707</v>
      </c>
      <c r="I127" s="103">
        <f t="shared" si="32"/>
        <v>2616.294117647059</v>
      </c>
      <c r="J127" s="103">
        <f t="shared" si="32"/>
        <v>1649.0588235294117</v>
      </c>
      <c r="K127" s="103">
        <f t="shared" si="32"/>
        <v>0</v>
      </c>
      <c r="L127" s="103">
        <f t="shared" si="32"/>
        <v>2161.5294117647059</v>
      </c>
    </row>
  </sheetData>
  <sheetProtection algorithmName="SHA-512" hashValue="DSAPxmv3eDsQrvN/noTDMJUsFxpHVhowO+E3jDvVK0gB5BblvhRQcglMwLWdQqpEm6bHBMMLQ2hYDLvaBHF+qw==" saltValue="s7j/F8ShLIz5wWNifcOl1A==" spinCount="100000" sheet="1" objects="1" scenarios="1"/>
  <mergeCells count="2">
    <mergeCell ref="A7:B7"/>
    <mergeCell ref="A8:B8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V64"/>
  <sheetViews>
    <sheetView workbookViewId="0">
      <selection activeCell="A4" sqref="A4"/>
    </sheetView>
  </sheetViews>
  <sheetFormatPr defaultColWidth="8.81640625" defaultRowHeight="14.5" x14ac:dyDescent="0.35"/>
  <cols>
    <col min="1" max="1" width="16.1796875" customWidth="1"/>
    <col min="2" max="2" width="6.1796875" customWidth="1"/>
    <col min="3" max="3" width="21.54296875" bestFit="1" customWidth="1"/>
    <col min="4" max="4" width="17.1796875" bestFit="1" customWidth="1"/>
    <col min="5" max="5" width="2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0" width="17.1796875" bestFit="1" customWidth="1"/>
    <col min="11" max="11" width="18.81640625" customWidth="1"/>
    <col min="12" max="12" width="17.81640625" customWidth="1"/>
    <col min="13" max="13" width="17.1796875" bestFit="1" customWidth="1"/>
    <col min="14" max="14" width="17.1796875" customWidth="1"/>
    <col min="15" max="15" width="19.1796875" customWidth="1"/>
    <col min="16" max="16" width="17.1796875" customWidth="1"/>
    <col min="17" max="17" width="17.1796875" bestFit="1" customWidth="1"/>
    <col min="18" max="18" width="17.81640625" bestFit="1" customWidth="1"/>
    <col min="19" max="19" width="17.1796875" bestFit="1" customWidth="1"/>
    <col min="20" max="21" width="17.1796875" customWidth="1"/>
    <col min="22" max="22" width="19.1796875" customWidth="1"/>
  </cols>
  <sheetData>
    <row r="1" spans="1:22" ht="15" thickBot="1" x14ac:dyDescent="0.4"/>
    <row r="2" spans="1:22" x14ac:dyDescent="0.35">
      <c r="E2" s="130" t="s">
        <v>195</v>
      </c>
      <c r="F2" s="131"/>
      <c r="G2" s="131" t="s">
        <v>104</v>
      </c>
      <c r="H2" s="131"/>
      <c r="I2" s="132"/>
    </row>
    <row r="3" spans="1:22" x14ac:dyDescent="0.35">
      <c r="E3" s="133"/>
      <c r="F3" s="134" t="s">
        <v>417</v>
      </c>
      <c r="G3" s="135"/>
      <c r="H3" s="134"/>
      <c r="I3" s="136"/>
    </row>
    <row r="4" spans="1:22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22" ht="30.65" customHeight="1" x14ac:dyDescent="0.35">
      <c r="A5" s="141" t="s">
        <v>418</v>
      </c>
      <c r="B5" t="s">
        <v>419</v>
      </c>
    </row>
    <row r="6" spans="1:22" ht="28.4" customHeight="1" x14ac:dyDescent="0.35">
      <c r="A6" s="142" t="s">
        <v>200</v>
      </c>
      <c r="B6" s="169"/>
      <c r="C6" s="142" t="s">
        <v>420</v>
      </c>
      <c r="D6" s="142" t="s">
        <v>421</v>
      </c>
      <c r="E6" s="142" t="s">
        <v>422</v>
      </c>
      <c r="F6" s="142" t="s">
        <v>423</v>
      </c>
      <c r="G6" s="143" t="s">
        <v>424</v>
      </c>
      <c r="H6" s="143" t="s">
        <v>425</v>
      </c>
      <c r="I6" s="143" t="s">
        <v>426</v>
      </c>
      <c r="J6" s="142" t="s">
        <v>427</v>
      </c>
      <c r="K6" s="142" t="s">
        <v>428</v>
      </c>
      <c r="L6" s="142" t="s">
        <v>348</v>
      </c>
      <c r="M6" s="142" t="s">
        <v>429</v>
      </c>
      <c r="N6" s="142" t="s">
        <v>430</v>
      </c>
      <c r="O6" s="142" t="s">
        <v>431</v>
      </c>
      <c r="P6" s="142" t="s">
        <v>432</v>
      </c>
      <c r="Q6" s="142" t="s">
        <v>433</v>
      </c>
      <c r="R6" s="142" t="s">
        <v>434</v>
      </c>
      <c r="S6" s="142" t="s">
        <v>435</v>
      </c>
      <c r="T6" s="142" t="s">
        <v>436</v>
      </c>
      <c r="U6" s="142" t="s">
        <v>437</v>
      </c>
      <c r="V6" s="144" t="s">
        <v>438</v>
      </c>
    </row>
    <row r="7" spans="1:22" x14ac:dyDescent="0.35">
      <c r="A7" s="252" t="s">
        <v>137</v>
      </c>
      <c r="B7" s="252"/>
      <c r="C7" s="145" t="s">
        <v>140</v>
      </c>
      <c r="D7" s="145" t="s">
        <v>141</v>
      </c>
      <c r="E7" s="145" t="s">
        <v>214</v>
      </c>
      <c r="F7" s="145" t="s">
        <v>215</v>
      </c>
      <c r="G7" s="145" t="s">
        <v>142</v>
      </c>
      <c r="H7" s="145" t="s">
        <v>143</v>
      </c>
      <c r="I7" s="145" t="s">
        <v>144</v>
      </c>
      <c r="J7" s="145" t="s">
        <v>145</v>
      </c>
      <c r="K7" s="145" t="s">
        <v>146</v>
      </c>
      <c r="L7" s="145" t="s">
        <v>147</v>
      </c>
      <c r="M7" s="145" t="s">
        <v>439</v>
      </c>
      <c r="N7" s="145" t="s">
        <v>149</v>
      </c>
      <c r="O7" s="145" t="s">
        <v>150</v>
      </c>
      <c r="P7" s="145" t="s">
        <v>151</v>
      </c>
      <c r="Q7" s="145" t="s">
        <v>153</v>
      </c>
      <c r="R7" s="145" t="s">
        <v>217</v>
      </c>
      <c r="S7" s="145" t="s">
        <v>218</v>
      </c>
      <c r="T7" s="145" t="s">
        <v>156</v>
      </c>
      <c r="U7" s="145" t="s">
        <v>440</v>
      </c>
      <c r="V7" s="145" t="s">
        <v>359</v>
      </c>
    </row>
    <row r="8" spans="1:22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2</v>
      </c>
      <c r="K8" s="147">
        <v>1</v>
      </c>
      <c r="L8" s="147">
        <v>2</v>
      </c>
      <c r="M8" s="147">
        <v>1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4</v>
      </c>
      <c r="T8" s="147">
        <v>1</v>
      </c>
      <c r="U8" s="147">
        <v>1</v>
      </c>
      <c r="V8" s="147">
        <v>1</v>
      </c>
    </row>
    <row r="9" spans="1:22" x14ac:dyDescent="0.35">
      <c r="A9" s="150" t="s">
        <v>159</v>
      </c>
      <c r="B9" s="151"/>
      <c r="C9" s="152"/>
      <c r="D9" s="152"/>
      <c r="E9" s="152"/>
      <c r="F9" s="152"/>
      <c r="G9" s="152"/>
      <c r="H9" s="152"/>
      <c r="I9" s="152"/>
      <c r="J9" s="152"/>
      <c r="K9" s="154"/>
      <c r="L9" s="152"/>
      <c r="M9" s="152"/>
      <c r="N9" s="152"/>
      <c r="O9" s="173" t="s">
        <v>225</v>
      </c>
      <c r="P9" s="173" t="s">
        <v>225</v>
      </c>
      <c r="Q9" s="152"/>
      <c r="R9" s="152"/>
      <c r="S9" s="152"/>
      <c r="T9" s="152"/>
      <c r="U9" s="152"/>
      <c r="V9" s="173" t="s">
        <v>225</v>
      </c>
    </row>
    <row r="10" spans="1:22" x14ac:dyDescent="0.35">
      <c r="A10" s="155" t="s">
        <v>161</v>
      </c>
      <c r="B10" s="156" t="s">
        <v>162</v>
      </c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72">
        <v>0</v>
      </c>
      <c r="P10" s="172">
        <v>0</v>
      </c>
      <c r="Q10" s="157"/>
      <c r="R10" s="157"/>
      <c r="S10" s="157"/>
      <c r="T10" s="157"/>
      <c r="U10" s="157"/>
      <c r="V10" s="172">
        <v>0</v>
      </c>
    </row>
    <row r="11" spans="1:22" x14ac:dyDescent="0.35">
      <c r="A11" s="155" t="s">
        <v>161</v>
      </c>
      <c r="B11" s="156" t="s">
        <v>163</v>
      </c>
      <c r="C11" s="157"/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72">
        <v>1235</v>
      </c>
      <c r="P11" s="172">
        <v>0</v>
      </c>
      <c r="Q11" s="157"/>
      <c r="R11" s="157"/>
      <c r="S11" s="157"/>
      <c r="T11" s="157"/>
      <c r="U11" s="157"/>
      <c r="V11" s="172">
        <v>0</v>
      </c>
    </row>
    <row r="12" spans="1:22" x14ac:dyDescent="0.35">
      <c r="A12" s="155" t="s">
        <v>164</v>
      </c>
      <c r="B12" s="156"/>
      <c r="C12" s="157"/>
      <c r="D12" s="157"/>
      <c r="E12" s="157"/>
      <c r="F12" s="157"/>
      <c r="G12" s="157"/>
      <c r="H12" s="157"/>
      <c r="I12" s="157"/>
      <c r="J12" s="166"/>
      <c r="K12" s="157"/>
      <c r="L12" s="157"/>
      <c r="M12" s="157"/>
      <c r="N12" s="157"/>
      <c r="O12" s="178">
        <v>42847</v>
      </c>
      <c r="P12" s="176">
        <v>43831</v>
      </c>
      <c r="Q12" s="157"/>
      <c r="R12" s="157"/>
      <c r="S12" s="157"/>
      <c r="T12" s="157"/>
      <c r="U12" s="157"/>
      <c r="V12" s="178">
        <v>43252</v>
      </c>
    </row>
    <row r="13" spans="1:22" ht="29" x14ac:dyDescent="0.35">
      <c r="A13" s="160" t="s">
        <v>165</v>
      </c>
      <c r="B13" s="161"/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62" t="s">
        <v>166</v>
      </c>
      <c r="P13" s="162" t="s">
        <v>166</v>
      </c>
      <c r="Q13" s="157"/>
      <c r="R13" s="157"/>
      <c r="S13" s="157"/>
      <c r="T13" s="157"/>
      <c r="U13" s="157"/>
      <c r="V13" s="162" t="s">
        <v>166</v>
      </c>
    </row>
    <row r="14" spans="1:22" x14ac:dyDescent="0.35">
      <c r="A14" s="225" t="s">
        <v>167</v>
      </c>
      <c r="B14" s="225"/>
      <c r="C14" s="225">
        <f>IFERROR(C11-C10,"")</f>
        <v>0</v>
      </c>
      <c r="D14" s="225">
        <f t="shared" ref="D14:V14" si="0">IFERROR(D11-D10,"")</f>
        <v>0</v>
      </c>
      <c r="E14" s="225">
        <f t="shared" si="0"/>
        <v>0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0</v>
      </c>
      <c r="J14" s="225">
        <f t="shared" si="0"/>
        <v>0</v>
      </c>
      <c r="K14" s="225">
        <f t="shared" si="0"/>
        <v>0</v>
      </c>
      <c r="L14" s="225">
        <f t="shared" si="0"/>
        <v>0</v>
      </c>
      <c r="M14" s="225">
        <f t="shared" si="0"/>
        <v>0</v>
      </c>
      <c r="N14" s="225">
        <f t="shared" si="0"/>
        <v>0</v>
      </c>
      <c r="O14" s="225">
        <f t="shared" si="0"/>
        <v>1235</v>
      </c>
      <c r="P14" s="225">
        <f t="shared" si="0"/>
        <v>0</v>
      </c>
      <c r="Q14" s="225">
        <f t="shared" si="0"/>
        <v>0</v>
      </c>
      <c r="R14" s="225">
        <f t="shared" si="0"/>
        <v>0</v>
      </c>
      <c r="S14" s="225">
        <f t="shared" si="0"/>
        <v>0</v>
      </c>
      <c r="T14" s="225">
        <f t="shared" si="0"/>
        <v>0</v>
      </c>
      <c r="U14" s="225">
        <f t="shared" si="0"/>
        <v>0</v>
      </c>
      <c r="V14" s="225">
        <f t="shared" si="0"/>
        <v>0</v>
      </c>
    </row>
    <row r="15" spans="1:22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</row>
    <row r="16" spans="1:22" x14ac:dyDescent="0.35">
      <c r="A16" s="150" t="s">
        <v>159</v>
      </c>
      <c r="B16" s="151"/>
      <c r="C16" s="163"/>
      <c r="D16" s="154"/>
      <c r="E16" s="154"/>
      <c r="F16" s="154"/>
      <c r="G16" s="154"/>
      <c r="H16" s="154"/>
      <c r="I16" s="154"/>
      <c r="J16" s="152"/>
      <c r="K16" s="154"/>
      <c r="L16" s="154"/>
      <c r="M16" s="154"/>
      <c r="N16" s="154"/>
      <c r="O16" s="154"/>
      <c r="P16" s="154"/>
      <c r="Q16" s="154"/>
      <c r="R16" s="152"/>
      <c r="S16" s="152"/>
      <c r="T16" s="152"/>
      <c r="U16" s="152"/>
      <c r="V16" s="154"/>
    </row>
    <row r="17" spans="1:22" x14ac:dyDescent="0.35">
      <c r="A17" s="155" t="s">
        <v>161</v>
      </c>
      <c r="B17" s="156" t="s">
        <v>162</v>
      </c>
      <c r="C17" s="165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</row>
    <row r="18" spans="1:22" x14ac:dyDescent="0.35">
      <c r="A18" s="155" t="s">
        <v>161</v>
      </c>
      <c r="B18" s="156" t="s">
        <v>163</v>
      </c>
      <c r="C18" s="165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</row>
    <row r="19" spans="1:22" x14ac:dyDescent="0.35">
      <c r="A19" s="155" t="s">
        <v>164</v>
      </c>
      <c r="B19" s="156"/>
      <c r="C19" s="165"/>
      <c r="D19" s="157"/>
      <c r="E19" s="157"/>
      <c r="F19" s="157"/>
      <c r="G19" s="157"/>
      <c r="H19" s="157"/>
      <c r="I19" s="157"/>
      <c r="J19" s="166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</row>
    <row r="20" spans="1:22" x14ac:dyDescent="0.35">
      <c r="A20" s="160" t="s">
        <v>165</v>
      </c>
      <c r="B20" s="167"/>
      <c r="C20" s="165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</row>
    <row r="21" spans="1:22" x14ac:dyDescent="0.35">
      <c r="A21" s="225" t="s">
        <v>167</v>
      </c>
      <c r="B21" s="225"/>
      <c r="C21" s="225">
        <f>IFERROR(C18-C17,"")</f>
        <v>0</v>
      </c>
      <c r="D21" s="225">
        <f t="shared" ref="D21:V21" si="1">IFERROR(D18-D17,"")</f>
        <v>0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0</v>
      </c>
      <c r="J21" s="225">
        <f t="shared" si="1"/>
        <v>0</v>
      </c>
      <c r="K21" s="225">
        <f t="shared" si="1"/>
        <v>0</v>
      </c>
      <c r="L21" s="225">
        <f t="shared" si="1"/>
        <v>0</v>
      </c>
      <c r="M21" s="225">
        <f t="shared" si="1"/>
        <v>0</v>
      </c>
      <c r="N21" s="225">
        <f t="shared" si="1"/>
        <v>0</v>
      </c>
      <c r="O21" s="225">
        <f t="shared" si="1"/>
        <v>0</v>
      </c>
      <c r="P21" s="225">
        <f t="shared" si="1"/>
        <v>0</v>
      </c>
      <c r="Q21" s="225">
        <f t="shared" si="1"/>
        <v>0</v>
      </c>
      <c r="R21" s="225">
        <f t="shared" si="1"/>
        <v>0</v>
      </c>
      <c r="S21" s="225">
        <f t="shared" si="1"/>
        <v>0</v>
      </c>
      <c r="T21" s="225">
        <f t="shared" si="1"/>
        <v>0</v>
      </c>
      <c r="U21" s="225">
        <f t="shared" si="1"/>
        <v>0</v>
      </c>
      <c r="V21" s="225">
        <f t="shared" si="1"/>
        <v>0</v>
      </c>
    </row>
    <row r="22" spans="1:22" ht="16.399999999999999" customHeight="1" x14ac:dyDescent="0.35">
      <c r="A22" s="65" t="s">
        <v>2</v>
      </c>
      <c r="B22" s="65"/>
      <c r="C22" s="65">
        <f>AVERAGE(C14,C21)</f>
        <v>0</v>
      </c>
      <c r="D22" s="65">
        <f t="shared" ref="D22:V22" si="2">AVERAGE(D14,D21)</f>
        <v>0</v>
      </c>
      <c r="E22" s="65">
        <f t="shared" si="2"/>
        <v>0</v>
      </c>
      <c r="F22" s="65">
        <f t="shared" si="2"/>
        <v>0</v>
      </c>
      <c r="G22" s="65">
        <f t="shared" si="2"/>
        <v>0</v>
      </c>
      <c r="H22" s="65">
        <f t="shared" si="2"/>
        <v>0</v>
      </c>
      <c r="I22" s="65">
        <f t="shared" si="2"/>
        <v>0</v>
      </c>
      <c r="J22" s="65">
        <f t="shared" si="2"/>
        <v>0</v>
      </c>
      <c r="K22" s="65">
        <f t="shared" si="2"/>
        <v>0</v>
      </c>
      <c r="L22" s="65">
        <f t="shared" si="2"/>
        <v>0</v>
      </c>
      <c r="M22" s="65">
        <f t="shared" si="2"/>
        <v>0</v>
      </c>
      <c r="N22" s="65">
        <f t="shared" si="2"/>
        <v>0</v>
      </c>
      <c r="O22" s="65">
        <f t="shared" si="2"/>
        <v>617.5</v>
      </c>
      <c r="P22" s="65">
        <f t="shared" si="2"/>
        <v>0</v>
      </c>
      <c r="Q22" s="65">
        <f t="shared" si="2"/>
        <v>0</v>
      </c>
      <c r="R22" s="65">
        <f t="shared" si="2"/>
        <v>0</v>
      </c>
      <c r="S22" s="65">
        <f t="shared" si="2"/>
        <v>0</v>
      </c>
      <c r="T22" s="65">
        <f t="shared" si="2"/>
        <v>0</v>
      </c>
      <c r="U22" s="65">
        <f t="shared" si="2"/>
        <v>0</v>
      </c>
      <c r="V22" s="65">
        <f t="shared" si="2"/>
        <v>0</v>
      </c>
    </row>
    <row r="23" spans="1:22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4"/>
      <c r="O23" s="154"/>
      <c r="P23" s="154"/>
      <c r="Q23" s="154"/>
      <c r="R23" s="152"/>
      <c r="S23" s="152"/>
      <c r="T23" s="152"/>
      <c r="U23" s="152"/>
      <c r="V23" s="154"/>
    </row>
    <row r="24" spans="1:22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7"/>
    </row>
    <row r="25" spans="1:22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</row>
    <row r="26" spans="1:22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7"/>
    </row>
    <row r="27" spans="1:22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7"/>
    </row>
    <row r="28" spans="1:22" x14ac:dyDescent="0.35">
      <c r="A28" s="225" t="s">
        <v>167</v>
      </c>
      <c r="B28" s="225"/>
      <c r="C28" s="225">
        <f>IFERROR(C25-C24,"")</f>
        <v>0</v>
      </c>
      <c r="D28" s="225">
        <f t="shared" ref="D28:V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0</v>
      </c>
      <c r="O28" s="225">
        <f t="shared" si="3"/>
        <v>0</v>
      </c>
      <c r="P28" s="225">
        <f t="shared" si="3"/>
        <v>0</v>
      </c>
      <c r="Q28" s="225">
        <f t="shared" si="3"/>
        <v>0</v>
      </c>
      <c r="R28" s="225">
        <f t="shared" si="3"/>
        <v>0</v>
      </c>
      <c r="S28" s="225">
        <f t="shared" si="3"/>
        <v>0</v>
      </c>
      <c r="T28" s="225">
        <f t="shared" si="3"/>
        <v>0</v>
      </c>
      <c r="U28" s="225">
        <f t="shared" si="3"/>
        <v>0</v>
      </c>
      <c r="V28" s="225">
        <f t="shared" si="3"/>
        <v>0</v>
      </c>
    </row>
    <row r="29" spans="1:22" ht="16.399999999999999" customHeight="1" x14ac:dyDescent="0.35">
      <c r="A29" s="65" t="s">
        <v>2</v>
      </c>
      <c r="B29" s="65"/>
      <c r="C29" s="65">
        <f>AVERAGE(C21,C28,C14)</f>
        <v>0</v>
      </c>
      <c r="D29" s="65">
        <f t="shared" ref="D29:V29" si="4">AVERAGE(D21,D28,D14)</f>
        <v>0</v>
      </c>
      <c r="E29" s="65">
        <f t="shared" si="4"/>
        <v>0</v>
      </c>
      <c r="F29" s="65">
        <f t="shared" si="4"/>
        <v>0</v>
      </c>
      <c r="G29" s="65">
        <f t="shared" si="4"/>
        <v>0</v>
      </c>
      <c r="H29" s="65">
        <f t="shared" si="4"/>
        <v>0</v>
      </c>
      <c r="I29" s="65">
        <f t="shared" si="4"/>
        <v>0</v>
      </c>
      <c r="J29" s="65">
        <f t="shared" si="4"/>
        <v>0</v>
      </c>
      <c r="K29" s="65">
        <f t="shared" si="4"/>
        <v>0</v>
      </c>
      <c r="L29" s="65">
        <f t="shared" si="4"/>
        <v>0</v>
      </c>
      <c r="M29" s="65">
        <f t="shared" si="4"/>
        <v>0</v>
      </c>
      <c r="N29" s="65">
        <f t="shared" si="4"/>
        <v>0</v>
      </c>
      <c r="O29" s="65">
        <f t="shared" si="4"/>
        <v>411.66666666666669</v>
      </c>
      <c r="P29" s="65">
        <f t="shared" si="4"/>
        <v>0</v>
      </c>
      <c r="Q29" s="65">
        <f t="shared" si="4"/>
        <v>0</v>
      </c>
      <c r="R29" s="65">
        <f t="shared" si="4"/>
        <v>0</v>
      </c>
      <c r="S29" s="65">
        <f t="shared" si="4"/>
        <v>0</v>
      </c>
      <c r="T29" s="65">
        <f t="shared" si="4"/>
        <v>0</v>
      </c>
      <c r="U29" s="65">
        <f t="shared" si="4"/>
        <v>0</v>
      </c>
      <c r="V29" s="65">
        <f t="shared" si="4"/>
        <v>0</v>
      </c>
    </row>
    <row r="30" spans="1:22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4"/>
      <c r="O30" s="154"/>
      <c r="P30" s="154"/>
      <c r="Q30" s="154"/>
      <c r="R30" s="152"/>
      <c r="S30" s="152"/>
      <c r="T30" s="152"/>
      <c r="U30" s="152"/>
      <c r="V30" s="154"/>
    </row>
    <row r="31" spans="1:22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</row>
    <row r="32" spans="1:22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</row>
    <row r="33" spans="1:22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</row>
    <row r="34" spans="1:22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</row>
    <row r="35" spans="1:22" x14ac:dyDescent="0.35">
      <c r="A35" s="225" t="s">
        <v>167</v>
      </c>
      <c r="B35" s="225"/>
      <c r="C35" s="225">
        <f>IFERROR(C32-C31,"")</f>
        <v>0</v>
      </c>
      <c r="D35" s="225">
        <f t="shared" ref="D35:V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0</v>
      </c>
      <c r="P35" s="225">
        <f t="shared" si="5"/>
        <v>0</v>
      </c>
      <c r="Q35" s="225">
        <f t="shared" si="5"/>
        <v>0</v>
      </c>
      <c r="R35" s="225">
        <f t="shared" si="5"/>
        <v>0</v>
      </c>
      <c r="S35" s="225">
        <f t="shared" si="5"/>
        <v>0</v>
      </c>
      <c r="T35" s="225">
        <f t="shared" si="5"/>
        <v>0</v>
      </c>
      <c r="U35" s="225">
        <f t="shared" si="5"/>
        <v>0</v>
      </c>
      <c r="V35" s="225">
        <f t="shared" si="5"/>
        <v>0</v>
      </c>
    </row>
    <row r="36" spans="1:22" ht="16.399999999999999" customHeight="1" x14ac:dyDescent="0.35">
      <c r="A36" s="65" t="s">
        <v>2</v>
      </c>
      <c r="B36" s="65"/>
      <c r="C36" s="65">
        <f>AVERAGE(C28,C35,C21,C14)</f>
        <v>0</v>
      </c>
      <c r="D36" s="65">
        <f t="shared" ref="D36:V36" si="6">AVERAGE(D28,D35,D21,D14)</f>
        <v>0</v>
      </c>
      <c r="E36" s="65">
        <f t="shared" si="6"/>
        <v>0</v>
      </c>
      <c r="F36" s="65">
        <f t="shared" si="6"/>
        <v>0</v>
      </c>
      <c r="G36" s="65">
        <f t="shared" si="6"/>
        <v>0</v>
      </c>
      <c r="H36" s="65">
        <f t="shared" si="6"/>
        <v>0</v>
      </c>
      <c r="I36" s="65">
        <f t="shared" si="6"/>
        <v>0</v>
      </c>
      <c r="J36" s="65">
        <f t="shared" si="6"/>
        <v>0</v>
      </c>
      <c r="K36" s="65">
        <f t="shared" si="6"/>
        <v>0</v>
      </c>
      <c r="L36" s="65">
        <f t="shared" si="6"/>
        <v>0</v>
      </c>
      <c r="M36" s="65">
        <f t="shared" si="6"/>
        <v>0</v>
      </c>
      <c r="N36" s="65">
        <f t="shared" si="6"/>
        <v>0</v>
      </c>
      <c r="O36" s="65">
        <f t="shared" si="6"/>
        <v>308.75</v>
      </c>
      <c r="P36" s="65">
        <f t="shared" si="6"/>
        <v>0</v>
      </c>
      <c r="Q36" s="65">
        <f t="shared" si="6"/>
        <v>0</v>
      </c>
      <c r="R36" s="65">
        <f t="shared" si="6"/>
        <v>0</v>
      </c>
      <c r="S36" s="65">
        <f t="shared" si="6"/>
        <v>0</v>
      </c>
      <c r="T36" s="65">
        <f t="shared" si="6"/>
        <v>0</v>
      </c>
      <c r="U36" s="65">
        <f t="shared" si="6"/>
        <v>0</v>
      </c>
      <c r="V36" s="65">
        <f t="shared" si="6"/>
        <v>0</v>
      </c>
    </row>
    <row r="37" spans="1:22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4"/>
      <c r="O37" s="154"/>
      <c r="P37" s="154"/>
      <c r="Q37" s="154"/>
      <c r="R37" s="152"/>
      <c r="S37" s="152"/>
      <c r="T37" s="152"/>
      <c r="U37" s="152"/>
      <c r="V37" s="154"/>
    </row>
    <row r="38" spans="1:22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</row>
    <row r="39" spans="1:22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</row>
    <row r="40" spans="1:22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</row>
    <row r="41" spans="1:22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</row>
    <row r="42" spans="1:22" x14ac:dyDescent="0.35">
      <c r="A42" s="225" t="s">
        <v>167</v>
      </c>
      <c r="B42" s="225"/>
      <c r="C42" s="225">
        <f>IFERROR(C39-C38,"")</f>
        <v>0</v>
      </c>
      <c r="D42" s="225">
        <f t="shared" ref="D42:V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0</v>
      </c>
      <c r="P42" s="225">
        <f t="shared" si="7"/>
        <v>0</v>
      </c>
      <c r="Q42" s="225">
        <f t="shared" si="7"/>
        <v>0</v>
      </c>
      <c r="R42" s="225">
        <f t="shared" si="7"/>
        <v>0</v>
      </c>
      <c r="S42" s="225">
        <f t="shared" si="7"/>
        <v>0</v>
      </c>
      <c r="T42" s="225">
        <f t="shared" si="7"/>
        <v>0</v>
      </c>
      <c r="U42" s="225">
        <f t="shared" si="7"/>
        <v>0</v>
      </c>
      <c r="V42" s="225">
        <f t="shared" si="7"/>
        <v>0</v>
      </c>
    </row>
    <row r="43" spans="1:22" ht="16.399999999999999" customHeight="1" x14ac:dyDescent="0.35">
      <c r="A43" s="65" t="s">
        <v>2</v>
      </c>
      <c r="B43" s="65"/>
      <c r="C43" s="65">
        <f>AVERAGE(C35,C42,C28,C21,C14)</f>
        <v>0</v>
      </c>
      <c r="D43" s="65">
        <f t="shared" ref="D43:V43" si="8">AVERAGE(D35,D42,D28,D21,D14)</f>
        <v>0</v>
      </c>
      <c r="E43" s="65">
        <f t="shared" si="8"/>
        <v>0</v>
      </c>
      <c r="F43" s="65">
        <f t="shared" si="8"/>
        <v>0</v>
      </c>
      <c r="G43" s="65">
        <f t="shared" si="8"/>
        <v>0</v>
      </c>
      <c r="H43" s="65">
        <f t="shared" si="8"/>
        <v>0</v>
      </c>
      <c r="I43" s="65">
        <f t="shared" si="8"/>
        <v>0</v>
      </c>
      <c r="J43" s="65">
        <f t="shared" si="8"/>
        <v>0</v>
      </c>
      <c r="K43" s="65">
        <f t="shared" si="8"/>
        <v>0</v>
      </c>
      <c r="L43" s="65">
        <f t="shared" si="8"/>
        <v>0</v>
      </c>
      <c r="M43" s="65">
        <f t="shared" si="8"/>
        <v>0</v>
      </c>
      <c r="N43" s="65">
        <f t="shared" si="8"/>
        <v>0</v>
      </c>
      <c r="O43" s="65">
        <f t="shared" si="8"/>
        <v>247</v>
      </c>
      <c r="P43" s="65">
        <f t="shared" si="8"/>
        <v>0</v>
      </c>
      <c r="Q43" s="65">
        <f t="shared" si="8"/>
        <v>0</v>
      </c>
      <c r="R43" s="65">
        <f t="shared" si="8"/>
        <v>0</v>
      </c>
      <c r="S43" s="65">
        <f t="shared" si="8"/>
        <v>0</v>
      </c>
      <c r="T43" s="65">
        <f t="shared" si="8"/>
        <v>0</v>
      </c>
      <c r="U43" s="65">
        <f t="shared" si="8"/>
        <v>0</v>
      </c>
      <c r="V43" s="65">
        <f t="shared" si="8"/>
        <v>0</v>
      </c>
    </row>
    <row r="44" spans="1:22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4"/>
      <c r="O44" s="154"/>
      <c r="P44" s="154"/>
      <c r="Q44" s="154"/>
      <c r="R44" s="152"/>
      <c r="S44" s="152"/>
      <c r="T44" s="152"/>
      <c r="U44" s="152"/>
      <c r="V44" s="154"/>
    </row>
    <row r="45" spans="1:22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</row>
    <row r="46" spans="1:22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</row>
    <row r="47" spans="1:22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</row>
    <row r="48" spans="1:22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</row>
    <row r="49" spans="1:22" x14ac:dyDescent="0.35">
      <c r="A49" s="225" t="s">
        <v>167</v>
      </c>
      <c r="B49" s="225"/>
      <c r="C49" s="225">
        <f>IFERROR(C46-C45,"")</f>
        <v>0</v>
      </c>
      <c r="D49" s="225">
        <f t="shared" ref="D49:V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  <c r="V49" s="225">
        <f t="shared" si="9"/>
        <v>0</v>
      </c>
    </row>
    <row r="50" spans="1:22" ht="16.399999999999999" customHeight="1" x14ac:dyDescent="0.35">
      <c r="A50" s="65" t="s">
        <v>2</v>
      </c>
      <c r="B50" s="65"/>
      <c r="C50" s="65">
        <f>AVERAGE(C42,C49,C35,C28,C21,C14)</f>
        <v>0</v>
      </c>
      <c r="D50" s="65">
        <f t="shared" ref="D50:V50" si="10">AVERAGE(D42,D49,D35,D28,D21,D14)</f>
        <v>0</v>
      </c>
      <c r="E50" s="65">
        <f t="shared" si="10"/>
        <v>0</v>
      </c>
      <c r="F50" s="65">
        <f t="shared" si="10"/>
        <v>0</v>
      </c>
      <c r="G50" s="65">
        <f t="shared" si="10"/>
        <v>0</v>
      </c>
      <c r="H50" s="65">
        <f t="shared" si="10"/>
        <v>0</v>
      </c>
      <c r="I50" s="65">
        <f t="shared" si="10"/>
        <v>0</v>
      </c>
      <c r="J50" s="65">
        <f t="shared" si="10"/>
        <v>0</v>
      </c>
      <c r="K50" s="65">
        <f t="shared" si="10"/>
        <v>0</v>
      </c>
      <c r="L50" s="65">
        <f t="shared" si="10"/>
        <v>0</v>
      </c>
      <c r="M50" s="65">
        <f t="shared" si="10"/>
        <v>0</v>
      </c>
      <c r="N50" s="65">
        <f t="shared" si="10"/>
        <v>0</v>
      </c>
      <c r="O50" s="65">
        <f t="shared" si="10"/>
        <v>205.83333333333334</v>
      </c>
      <c r="P50" s="65">
        <f t="shared" si="10"/>
        <v>0</v>
      </c>
      <c r="Q50" s="65">
        <f t="shared" si="10"/>
        <v>0</v>
      </c>
      <c r="R50" s="65">
        <f t="shared" si="10"/>
        <v>0</v>
      </c>
      <c r="S50" s="65">
        <f t="shared" si="10"/>
        <v>0</v>
      </c>
      <c r="T50" s="65">
        <f t="shared" si="10"/>
        <v>0</v>
      </c>
      <c r="U50" s="65">
        <f t="shared" si="10"/>
        <v>0</v>
      </c>
      <c r="V50" s="65">
        <f t="shared" si="10"/>
        <v>0</v>
      </c>
    </row>
    <row r="51" spans="1:22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4"/>
      <c r="O51" s="154"/>
      <c r="P51" s="154"/>
      <c r="Q51" s="154"/>
      <c r="R51" s="152"/>
      <c r="S51" s="152"/>
      <c r="T51" s="152"/>
      <c r="U51" s="152"/>
      <c r="V51" s="154"/>
    </row>
    <row r="52" spans="1:22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</row>
    <row r="53" spans="1:22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</row>
    <row r="54" spans="1:22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</row>
    <row r="55" spans="1:22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</row>
    <row r="56" spans="1:22" x14ac:dyDescent="0.35">
      <c r="A56" s="225" t="s">
        <v>167</v>
      </c>
      <c r="B56" s="225"/>
      <c r="C56" s="225">
        <f>IFERROR(C53-C52,"")</f>
        <v>0</v>
      </c>
      <c r="D56" s="225">
        <f t="shared" ref="D56:V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0</v>
      </c>
      <c r="P56" s="225">
        <f t="shared" si="11"/>
        <v>0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  <c r="V56" s="225">
        <f t="shared" si="11"/>
        <v>0</v>
      </c>
    </row>
    <row r="57" spans="1:22" ht="16.399999999999999" customHeight="1" x14ac:dyDescent="0.35">
      <c r="A57" s="65" t="s">
        <v>2</v>
      </c>
      <c r="B57" s="65"/>
      <c r="C57" s="65">
        <f>AVERAGE(C49,C56,C42,C35,C28,C21,C14)</f>
        <v>0</v>
      </c>
      <c r="D57" s="65">
        <f t="shared" ref="D57:V57" si="12">AVERAGE(D49,D56,D42,D35,D28,D21,D14)</f>
        <v>0</v>
      </c>
      <c r="E57" s="65">
        <f t="shared" si="12"/>
        <v>0</v>
      </c>
      <c r="F57" s="65">
        <f t="shared" si="12"/>
        <v>0</v>
      </c>
      <c r="G57" s="65">
        <f t="shared" si="12"/>
        <v>0</v>
      </c>
      <c r="H57" s="65">
        <f t="shared" si="12"/>
        <v>0</v>
      </c>
      <c r="I57" s="65">
        <f t="shared" si="12"/>
        <v>0</v>
      </c>
      <c r="J57" s="65">
        <f t="shared" si="12"/>
        <v>0</v>
      </c>
      <c r="K57" s="65">
        <f t="shared" si="12"/>
        <v>0</v>
      </c>
      <c r="L57" s="65">
        <f t="shared" si="12"/>
        <v>0</v>
      </c>
      <c r="M57" s="65">
        <f t="shared" si="12"/>
        <v>0</v>
      </c>
      <c r="N57" s="65">
        <f t="shared" si="12"/>
        <v>0</v>
      </c>
      <c r="O57" s="65">
        <f t="shared" si="12"/>
        <v>176.42857142857142</v>
      </c>
      <c r="P57" s="65">
        <f t="shared" si="12"/>
        <v>0</v>
      </c>
      <c r="Q57" s="65">
        <f t="shared" si="12"/>
        <v>0</v>
      </c>
      <c r="R57" s="65">
        <f t="shared" si="12"/>
        <v>0</v>
      </c>
      <c r="S57" s="65">
        <f t="shared" si="12"/>
        <v>0</v>
      </c>
      <c r="T57" s="65">
        <f t="shared" si="12"/>
        <v>0</v>
      </c>
      <c r="U57" s="65">
        <f t="shared" si="12"/>
        <v>0</v>
      </c>
      <c r="V57" s="65">
        <f t="shared" si="12"/>
        <v>0</v>
      </c>
    </row>
    <row r="58" spans="1:22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4"/>
      <c r="O58" s="154"/>
      <c r="P58" s="154"/>
      <c r="Q58" s="154"/>
      <c r="R58" s="152"/>
      <c r="S58" s="152"/>
      <c r="T58" s="152"/>
      <c r="U58" s="152"/>
      <c r="V58" s="154"/>
    </row>
    <row r="59" spans="1:22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</row>
    <row r="60" spans="1:22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</row>
    <row r="61" spans="1:22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</row>
    <row r="62" spans="1:22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</row>
    <row r="63" spans="1:22" x14ac:dyDescent="0.35">
      <c r="A63" s="225" t="s">
        <v>167</v>
      </c>
      <c r="B63" s="225"/>
      <c r="C63" s="225">
        <f>IFERROR(C60-C59,"")</f>
        <v>0</v>
      </c>
      <c r="D63" s="225">
        <f t="shared" ref="D63:V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  <c r="V63" s="225">
        <f t="shared" si="13"/>
        <v>0</v>
      </c>
    </row>
    <row r="64" spans="1:22" ht="16.399999999999999" customHeight="1" x14ac:dyDescent="0.35">
      <c r="A64" s="65" t="s">
        <v>2</v>
      </c>
      <c r="B64" s="65"/>
      <c r="C64" s="65">
        <f>AVERAGE(C56,C63,C49,C42,C35,C28,C21,C14)</f>
        <v>0</v>
      </c>
      <c r="D64" s="65">
        <f t="shared" ref="D64:V64" si="14">AVERAGE(D56,D63,D49,D42,D35,D28,D21,D14)</f>
        <v>0</v>
      </c>
      <c r="E64" s="65">
        <f t="shared" si="14"/>
        <v>0</v>
      </c>
      <c r="F64" s="65">
        <f t="shared" si="14"/>
        <v>0</v>
      </c>
      <c r="G64" s="65">
        <f t="shared" si="14"/>
        <v>0</v>
      </c>
      <c r="H64" s="65">
        <f t="shared" si="14"/>
        <v>0</v>
      </c>
      <c r="I64" s="65">
        <f t="shared" si="14"/>
        <v>0</v>
      </c>
      <c r="J64" s="65">
        <f t="shared" si="14"/>
        <v>0</v>
      </c>
      <c r="K64" s="65">
        <f t="shared" si="14"/>
        <v>0</v>
      </c>
      <c r="L64" s="65">
        <f t="shared" si="14"/>
        <v>0</v>
      </c>
      <c r="M64" s="65">
        <f t="shared" si="14"/>
        <v>0</v>
      </c>
      <c r="N64" s="65">
        <f t="shared" si="14"/>
        <v>0</v>
      </c>
      <c r="O64" s="65">
        <f t="shared" si="14"/>
        <v>154.375</v>
      </c>
      <c r="P64" s="65">
        <f t="shared" si="14"/>
        <v>0</v>
      </c>
      <c r="Q64" s="65">
        <f t="shared" si="14"/>
        <v>0</v>
      </c>
      <c r="R64" s="65">
        <f t="shared" si="14"/>
        <v>0</v>
      </c>
      <c r="S64" s="65">
        <f t="shared" si="14"/>
        <v>0</v>
      </c>
      <c r="T64" s="65">
        <f t="shared" si="14"/>
        <v>0</v>
      </c>
      <c r="U64" s="65">
        <f t="shared" si="14"/>
        <v>0</v>
      </c>
      <c r="V64" s="65">
        <f t="shared" si="14"/>
        <v>0</v>
      </c>
    </row>
  </sheetData>
  <sheetProtection algorithmName="SHA-512" hashValue="CQfwLD/m3dZJUeVAqmMh/Q11lOdaWUu5JPLJO9WVS0Pd3xkoRs2sQE2own674l7Pz8jH3LgzJ2YdeztEnSBatQ==" saltValue="OgKfevtSQqdBfDQGFYZ6WA==" spinCount="100000" sheet="1" objects="1" scenarios="1"/>
  <autoFilter ref="A2:V64" xr:uid="{00000000-0009-0000-0000-000014000000}"/>
  <mergeCells count="2">
    <mergeCell ref="A7:B7"/>
    <mergeCell ref="A8:B8"/>
  </mergeCells>
  <conditionalFormatting sqref="D15">
    <cfRule type="expression" dxfId="731" priority="509">
      <formula>D15&lt;#REF!</formula>
    </cfRule>
    <cfRule type="expression" dxfId="730" priority="510">
      <formula>D15&gt;$C$16</formula>
    </cfRule>
  </conditionalFormatting>
  <conditionalFormatting sqref="E15">
    <cfRule type="expression" dxfId="729" priority="511" stopIfTrue="1">
      <formula>E15&lt;#REF!</formula>
    </cfRule>
    <cfRule type="expression" dxfId="728" priority="512" stopIfTrue="1">
      <formula>E15&gt;$C$16</formula>
    </cfRule>
  </conditionalFormatting>
  <conditionalFormatting sqref="C15 F15:V15">
    <cfRule type="expression" dxfId="727" priority="513">
      <formula>C15&lt;#REF!</formula>
    </cfRule>
    <cfRule type="expression" dxfId="726" priority="514">
      <formula>C15&gt;#REF!</formula>
    </cfRule>
  </conditionalFormatting>
  <conditionalFormatting sqref="D22">
    <cfRule type="expression" dxfId="725" priority="49">
      <formula>D22&lt;#REF!</formula>
    </cfRule>
    <cfRule type="expression" dxfId="724" priority="50">
      <formula>D22&gt;$C$16</formula>
    </cfRule>
  </conditionalFormatting>
  <conditionalFormatting sqref="E22">
    <cfRule type="expression" dxfId="723" priority="51" stopIfTrue="1">
      <formula>E22&lt;#REF!</formula>
    </cfRule>
    <cfRule type="expression" dxfId="722" priority="52" stopIfTrue="1">
      <formula>E22&gt;$C$16</formula>
    </cfRule>
  </conditionalFormatting>
  <conditionalFormatting sqref="C22:V22">
    <cfRule type="expression" dxfId="721" priority="53">
      <formula>C22&lt;#REF!</formula>
    </cfRule>
    <cfRule type="expression" dxfId="720" priority="54">
      <formula>C22&gt;#REF!</formula>
    </cfRule>
  </conditionalFormatting>
  <conditionalFormatting sqref="D29">
    <cfRule type="expression" dxfId="719" priority="43">
      <formula>D29&lt;#REF!</formula>
    </cfRule>
    <cfRule type="expression" dxfId="718" priority="44">
      <formula>D29&gt;$C$16</formula>
    </cfRule>
  </conditionalFormatting>
  <conditionalFormatting sqref="E29">
    <cfRule type="expression" dxfId="717" priority="45" stopIfTrue="1">
      <formula>E29&lt;#REF!</formula>
    </cfRule>
    <cfRule type="expression" dxfId="716" priority="46" stopIfTrue="1">
      <formula>E29&gt;$C$16</formula>
    </cfRule>
  </conditionalFormatting>
  <conditionalFormatting sqref="F29:V29">
    <cfRule type="expression" dxfId="715" priority="47">
      <formula>F29&lt;#REF!</formula>
    </cfRule>
    <cfRule type="expression" dxfId="714" priority="48">
      <formula>F29&gt;#REF!</formula>
    </cfRule>
  </conditionalFormatting>
  <conditionalFormatting sqref="D36">
    <cfRule type="expression" dxfId="713" priority="37">
      <formula>D36&lt;#REF!</formula>
    </cfRule>
    <cfRule type="expression" dxfId="712" priority="38">
      <formula>D36&gt;$C$16</formula>
    </cfRule>
  </conditionalFormatting>
  <conditionalFormatting sqref="E36">
    <cfRule type="expression" dxfId="711" priority="39" stopIfTrue="1">
      <formula>E36&lt;#REF!</formula>
    </cfRule>
    <cfRule type="expression" dxfId="710" priority="40" stopIfTrue="1">
      <formula>E36&gt;$C$16</formula>
    </cfRule>
  </conditionalFormatting>
  <conditionalFormatting sqref="F36:V36">
    <cfRule type="expression" dxfId="709" priority="41">
      <formula>F36&lt;#REF!</formula>
    </cfRule>
    <cfRule type="expression" dxfId="708" priority="42">
      <formula>F36&gt;#REF!</formula>
    </cfRule>
  </conditionalFormatting>
  <conditionalFormatting sqref="D43">
    <cfRule type="expression" dxfId="707" priority="31">
      <formula>D43&lt;#REF!</formula>
    </cfRule>
    <cfRule type="expression" dxfId="706" priority="32">
      <formula>D43&gt;$C$16</formula>
    </cfRule>
  </conditionalFormatting>
  <conditionalFormatting sqref="E43">
    <cfRule type="expression" dxfId="705" priority="33" stopIfTrue="1">
      <formula>E43&lt;#REF!</formula>
    </cfRule>
    <cfRule type="expression" dxfId="704" priority="34" stopIfTrue="1">
      <formula>E43&gt;$C$16</formula>
    </cfRule>
  </conditionalFormatting>
  <conditionalFormatting sqref="F43:V43">
    <cfRule type="expression" dxfId="703" priority="35">
      <formula>F43&lt;#REF!</formula>
    </cfRule>
    <cfRule type="expression" dxfId="702" priority="36">
      <formula>F43&gt;#REF!</formula>
    </cfRule>
  </conditionalFormatting>
  <conditionalFormatting sqref="D50">
    <cfRule type="expression" dxfId="701" priority="25">
      <formula>D50&lt;#REF!</formula>
    </cfRule>
    <cfRule type="expression" dxfId="700" priority="26">
      <formula>D50&gt;$C$16</formula>
    </cfRule>
  </conditionalFormatting>
  <conditionalFormatting sqref="E50">
    <cfRule type="expression" dxfId="699" priority="27" stopIfTrue="1">
      <formula>E50&lt;#REF!</formula>
    </cfRule>
    <cfRule type="expression" dxfId="698" priority="28" stopIfTrue="1">
      <formula>E50&gt;$C$16</formula>
    </cfRule>
  </conditionalFormatting>
  <conditionalFormatting sqref="F50:V50">
    <cfRule type="expression" dxfId="697" priority="29">
      <formula>F50&lt;#REF!</formula>
    </cfRule>
    <cfRule type="expression" dxfId="696" priority="30">
      <formula>F50&gt;#REF!</formula>
    </cfRule>
  </conditionalFormatting>
  <conditionalFormatting sqref="D57">
    <cfRule type="expression" dxfId="695" priority="19">
      <formula>D57&lt;#REF!</formula>
    </cfRule>
    <cfRule type="expression" dxfId="694" priority="20">
      <formula>D57&gt;$C$16</formula>
    </cfRule>
  </conditionalFormatting>
  <conditionalFormatting sqref="E57">
    <cfRule type="expression" dxfId="693" priority="21" stopIfTrue="1">
      <formula>E57&lt;#REF!</formula>
    </cfRule>
    <cfRule type="expression" dxfId="692" priority="22" stopIfTrue="1">
      <formula>E57&gt;$C$16</formula>
    </cfRule>
  </conditionalFormatting>
  <conditionalFormatting sqref="F57:V57">
    <cfRule type="expression" dxfId="691" priority="23">
      <formula>F57&lt;#REF!</formula>
    </cfRule>
    <cfRule type="expression" dxfId="690" priority="24">
      <formula>F57&gt;#REF!</formula>
    </cfRule>
  </conditionalFormatting>
  <conditionalFormatting sqref="D64">
    <cfRule type="expression" dxfId="689" priority="13">
      <formula>D64&lt;#REF!</formula>
    </cfRule>
    <cfRule type="expression" dxfId="688" priority="14">
      <formula>D64&gt;$C$16</formula>
    </cfRule>
  </conditionalFormatting>
  <conditionalFormatting sqref="E64">
    <cfRule type="expression" dxfId="687" priority="15" stopIfTrue="1">
      <formula>E64&lt;#REF!</formula>
    </cfRule>
    <cfRule type="expression" dxfId="686" priority="16" stopIfTrue="1">
      <formula>E64&gt;$C$16</formula>
    </cfRule>
  </conditionalFormatting>
  <conditionalFormatting sqref="F64:V64">
    <cfRule type="expression" dxfId="685" priority="17">
      <formula>F64&lt;#REF!</formula>
    </cfRule>
    <cfRule type="expression" dxfId="684" priority="18">
      <formula>F64&gt;#REF!</formula>
    </cfRule>
  </conditionalFormatting>
  <conditionalFormatting sqref="C29:V29">
    <cfRule type="expression" dxfId="683" priority="11">
      <formula>C29&lt;#REF!</formula>
    </cfRule>
    <cfRule type="expression" dxfId="682" priority="12">
      <formula>C29&gt;#REF!</formula>
    </cfRule>
  </conditionalFormatting>
  <conditionalFormatting sqref="C64:V64">
    <cfRule type="expression" dxfId="681" priority="1">
      <formula>C64&lt;#REF!</formula>
    </cfRule>
    <cfRule type="expression" dxfId="680" priority="2">
      <formula>C64&gt;#REF!</formula>
    </cfRule>
  </conditionalFormatting>
  <conditionalFormatting sqref="C36:V36">
    <cfRule type="expression" dxfId="679" priority="9">
      <formula>C36&lt;#REF!</formula>
    </cfRule>
    <cfRule type="expression" dxfId="678" priority="10">
      <formula>C36&gt;#REF!</formula>
    </cfRule>
  </conditionalFormatting>
  <conditionalFormatting sqref="C43:V43">
    <cfRule type="expression" dxfId="677" priority="7">
      <formula>C43&lt;#REF!</formula>
    </cfRule>
    <cfRule type="expression" dxfId="676" priority="8">
      <formula>C43&gt;#REF!</formula>
    </cfRule>
  </conditionalFormatting>
  <conditionalFormatting sqref="C50:V50">
    <cfRule type="expression" dxfId="675" priority="5">
      <formula>C50&lt;#REF!</formula>
    </cfRule>
    <cfRule type="expression" dxfId="674" priority="6">
      <formula>C50&gt;#REF!</formula>
    </cfRule>
  </conditionalFormatting>
  <conditionalFormatting sqref="C57:V57">
    <cfRule type="expression" dxfId="673" priority="3">
      <formula>C57&lt;#REF!</formula>
    </cfRule>
    <cfRule type="expression" dxfId="672" priority="4">
      <formula>C57&gt;#REF!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C64"/>
  <sheetViews>
    <sheetView topLeftCell="M49" workbookViewId="0">
      <selection activeCell="R59" sqref="R59"/>
    </sheetView>
  </sheetViews>
  <sheetFormatPr defaultColWidth="8.81640625" defaultRowHeight="14.5" x14ac:dyDescent="0.35"/>
  <cols>
    <col min="1" max="1" width="16.81640625" customWidth="1"/>
    <col min="2" max="2" width="5.453125" customWidth="1"/>
    <col min="3" max="3" width="21.54296875" bestFit="1" customWidth="1"/>
    <col min="4" max="4" width="21.1796875" customWidth="1"/>
    <col min="5" max="7" width="21" customWidth="1"/>
    <col min="8" max="8" width="20.81640625" customWidth="1"/>
    <col min="9" max="9" width="22.1796875" customWidth="1"/>
    <col min="10" max="12" width="26.1796875" customWidth="1"/>
    <col min="13" max="13" width="21.81640625" customWidth="1"/>
    <col min="14" max="14" width="23.1796875" customWidth="1"/>
    <col min="15" max="15" width="18.81640625" customWidth="1"/>
    <col min="16" max="16" width="20.81640625" customWidth="1"/>
    <col min="17" max="17" width="17.1796875" bestFit="1" customWidth="1"/>
    <col min="18" max="18" width="17.1796875" customWidth="1"/>
    <col min="19" max="19" width="21.453125" customWidth="1"/>
    <col min="20" max="20" width="19.453125" customWidth="1"/>
    <col min="21" max="21" width="17.1796875" bestFit="1" customWidth="1"/>
    <col min="22" max="22" width="17.81640625" bestFit="1" customWidth="1"/>
    <col min="23" max="23" width="17.1796875" bestFit="1" customWidth="1"/>
    <col min="24" max="25" width="17.1796875" customWidth="1"/>
    <col min="26" max="28" width="20" customWidth="1"/>
    <col min="29" max="29" width="17.1796875" bestFit="1" customWidth="1"/>
  </cols>
  <sheetData>
    <row r="1" spans="1:29" ht="15" thickBot="1" x14ac:dyDescent="0.4"/>
    <row r="2" spans="1:29" x14ac:dyDescent="0.35">
      <c r="E2" s="130" t="s">
        <v>195</v>
      </c>
      <c r="F2" s="131"/>
      <c r="G2" s="131"/>
      <c r="H2" s="131"/>
      <c r="I2" s="131" t="s">
        <v>104</v>
      </c>
      <c r="J2" s="131"/>
      <c r="K2" s="131"/>
      <c r="L2" s="131"/>
      <c r="M2" s="132"/>
    </row>
    <row r="3" spans="1:29" x14ac:dyDescent="0.35">
      <c r="E3" s="133"/>
      <c r="F3" s="134"/>
      <c r="G3" s="134"/>
      <c r="H3" s="134" t="s">
        <v>417</v>
      </c>
      <c r="I3" s="135"/>
      <c r="J3" s="134"/>
      <c r="K3" s="134"/>
      <c r="L3" s="134"/>
      <c r="M3" s="136"/>
    </row>
    <row r="4" spans="1:29" ht="15" thickBot="1" x14ac:dyDescent="0.4">
      <c r="A4" t="s">
        <v>168</v>
      </c>
      <c r="B4" t="s">
        <v>169</v>
      </c>
      <c r="E4" s="137"/>
      <c r="F4" s="138"/>
      <c r="G4" s="138"/>
      <c r="H4" s="138" t="s">
        <v>197</v>
      </c>
      <c r="I4" s="139"/>
      <c r="J4" s="138" t="s">
        <v>112</v>
      </c>
      <c r="K4" s="138"/>
      <c r="L4" s="138"/>
      <c r="M4" s="140"/>
    </row>
    <row r="5" spans="1:29" ht="30.65" customHeight="1" x14ac:dyDescent="0.35">
      <c r="A5" s="141" t="s">
        <v>441</v>
      </c>
      <c r="B5" t="s">
        <v>442</v>
      </c>
    </row>
    <row r="6" spans="1:29" ht="28.4" customHeight="1" x14ac:dyDescent="0.35">
      <c r="A6" s="142" t="s">
        <v>200</v>
      </c>
      <c r="B6" s="169"/>
      <c r="C6" s="142" t="s">
        <v>420</v>
      </c>
      <c r="D6" s="142" t="s">
        <v>421</v>
      </c>
      <c r="E6" s="142" t="s">
        <v>422</v>
      </c>
      <c r="F6" s="142" t="s">
        <v>443</v>
      </c>
      <c r="G6" s="142" t="s">
        <v>444</v>
      </c>
      <c r="H6" s="142" t="s">
        <v>423</v>
      </c>
      <c r="I6" s="143" t="s">
        <v>424</v>
      </c>
      <c r="J6" s="143" t="s">
        <v>425</v>
      </c>
      <c r="K6" s="143" t="s">
        <v>445</v>
      </c>
      <c r="L6" s="143" t="s">
        <v>446</v>
      </c>
      <c r="M6" s="143" t="s">
        <v>426</v>
      </c>
      <c r="N6" s="142" t="s">
        <v>427</v>
      </c>
      <c r="O6" s="142" t="s">
        <v>428</v>
      </c>
      <c r="P6" s="142" t="s">
        <v>348</v>
      </c>
      <c r="Q6" s="142" t="s">
        <v>429</v>
      </c>
      <c r="R6" s="142" t="s">
        <v>430</v>
      </c>
      <c r="S6" s="142" t="s">
        <v>431</v>
      </c>
      <c r="T6" s="142" t="s">
        <v>432</v>
      </c>
      <c r="U6" s="142" t="s">
        <v>433</v>
      </c>
      <c r="V6" s="142" t="s">
        <v>434</v>
      </c>
      <c r="W6" s="142" t="s">
        <v>435</v>
      </c>
      <c r="X6" s="142" t="s">
        <v>436</v>
      </c>
      <c r="Y6" s="142" t="s">
        <v>437</v>
      </c>
      <c r="Z6" s="142" t="s">
        <v>447</v>
      </c>
      <c r="AA6" s="144" t="s">
        <v>448</v>
      </c>
      <c r="AB6" s="144" t="s">
        <v>449</v>
      </c>
      <c r="AC6" s="144" t="s">
        <v>438</v>
      </c>
    </row>
    <row r="7" spans="1:29" x14ac:dyDescent="0.35">
      <c r="A7" s="252" t="s">
        <v>137</v>
      </c>
      <c r="B7" s="252"/>
      <c r="C7" s="145" t="s">
        <v>140</v>
      </c>
      <c r="D7" s="145" t="s">
        <v>141</v>
      </c>
      <c r="E7" s="145" t="s">
        <v>214</v>
      </c>
      <c r="F7" s="145" t="s">
        <v>450</v>
      </c>
      <c r="G7" s="145" t="s">
        <v>451</v>
      </c>
      <c r="H7" s="145" t="s">
        <v>215</v>
      </c>
      <c r="I7" s="145" t="s">
        <v>142</v>
      </c>
      <c r="J7" s="145" t="s">
        <v>143</v>
      </c>
      <c r="K7" s="145" t="s">
        <v>452</v>
      </c>
      <c r="L7" s="145" t="s">
        <v>453</v>
      </c>
      <c r="M7" s="145" t="s">
        <v>144</v>
      </c>
      <c r="N7" s="145" t="s">
        <v>145</v>
      </c>
      <c r="O7" s="145" t="s">
        <v>146</v>
      </c>
      <c r="P7" s="145" t="s">
        <v>147</v>
      </c>
      <c r="Q7" s="145" t="s">
        <v>439</v>
      </c>
      <c r="R7" s="145" t="s">
        <v>149</v>
      </c>
      <c r="S7" s="145" t="s">
        <v>150</v>
      </c>
      <c r="T7" s="145" t="s">
        <v>151</v>
      </c>
      <c r="U7" s="145" t="s">
        <v>153</v>
      </c>
      <c r="V7" s="145" t="s">
        <v>217</v>
      </c>
      <c r="W7" s="145" t="s">
        <v>218</v>
      </c>
      <c r="X7" s="145" t="s">
        <v>156</v>
      </c>
      <c r="Y7" s="145" t="s">
        <v>440</v>
      </c>
      <c r="Z7" s="145" t="s">
        <v>454</v>
      </c>
      <c r="AA7" s="145" t="s">
        <v>455</v>
      </c>
      <c r="AB7" s="145" t="s">
        <v>456</v>
      </c>
      <c r="AC7" s="145" t="s">
        <v>359</v>
      </c>
    </row>
    <row r="8" spans="1:29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8</v>
      </c>
      <c r="G8" s="147">
        <v>8</v>
      </c>
      <c r="H8" s="147">
        <v>1</v>
      </c>
      <c r="I8" s="147">
        <v>1</v>
      </c>
      <c r="J8" s="147">
        <v>1</v>
      </c>
      <c r="K8" s="147">
        <v>3</v>
      </c>
      <c r="L8" s="147">
        <v>3</v>
      </c>
      <c r="M8" s="147">
        <v>1</v>
      </c>
      <c r="N8" s="147">
        <v>2</v>
      </c>
      <c r="O8" s="147">
        <v>1</v>
      </c>
      <c r="P8" s="147">
        <v>2</v>
      </c>
      <c r="Q8" s="147">
        <v>1</v>
      </c>
      <c r="R8" s="147">
        <v>1</v>
      </c>
      <c r="S8" s="147">
        <v>1</v>
      </c>
      <c r="T8" s="147">
        <v>1</v>
      </c>
      <c r="U8" s="147">
        <v>1</v>
      </c>
      <c r="V8" s="147">
        <v>1</v>
      </c>
      <c r="W8" s="147">
        <v>4</v>
      </c>
      <c r="X8" s="147">
        <v>1</v>
      </c>
      <c r="Y8" s="147">
        <v>1</v>
      </c>
      <c r="Z8" s="147">
        <v>3</v>
      </c>
      <c r="AA8" s="147">
        <v>3</v>
      </c>
      <c r="AB8" s="147">
        <v>3</v>
      </c>
      <c r="AC8" s="147">
        <v>1</v>
      </c>
    </row>
    <row r="9" spans="1:29" x14ac:dyDescent="0.35">
      <c r="A9" s="150" t="s">
        <v>159</v>
      </c>
      <c r="B9" s="151"/>
      <c r="C9" s="173" t="s">
        <v>225</v>
      </c>
      <c r="D9" s="173" t="s">
        <v>225</v>
      </c>
      <c r="E9" s="152"/>
      <c r="F9" s="173" t="s">
        <v>225</v>
      </c>
      <c r="G9" s="173" t="s">
        <v>225</v>
      </c>
      <c r="H9" s="173" t="s">
        <v>225</v>
      </c>
      <c r="I9" s="152"/>
      <c r="J9" s="152"/>
      <c r="K9" s="173" t="s">
        <v>225</v>
      </c>
      <c r="L9" s="173" t="s">
        <v>225</v>
      </c>
      <c r="M9" s="173" t="s">
        <v>225</v>
      </c>
      <c r="N9" s="178" t="s">
        <v>225</v>
      </c>
      <c r="O9" s="172" t="s">
        <v>225</v>
      </c>
      <c r="P9" s="172" t="s">
        <v>225</v>
      </c>
      <c r="Q9" s="172" t="s">
        <v>225</v>
      </c>
      <c r="R9" s="173" t="s">
        <v>225</v>
      </c>
      <c r="S9" s="173" t="s">
        <v>225</v>
      </c>
      <c r="T9" s="173" t="s">
        <v>225</v>
      </c>
      <c r="U9" s="173" t="s">
        <v>225</v>
      </c>
      <c r="V9" s="152"/>
      <c r="W9" s="152"/>
      <c r="X9" s="173" t="s">
        <v>225</v>
      </c>
      <c r="Y9" s="173" t="s">
        <v>225</v>
      </c>
      <c r="Z9" s="173" t="s">
        <v>225</v>
      </c>
      <c r="AA9" s="173" t="s">
        <v>225</v>
      </c>
      <c r="AB9" s="173" t="s">
        <v>225</v>
      </c>
      <c r="AC9" s="173" t="s">
        <v>225</v>
      </c>
    </row>
    <row r="10" spans="1:29" x14ac:dyDescent="0.35">
      <c r="A10" s="155" t="s">
        <v>161</v>
      </c>
      <c r="B10" s="156" t="s">
        <v>162</v>
      </c>
      <c r="C10" s="172">
        <v>0</v>
      </c>
      <c r="D10" s="172">
        <v>0</v>
      </c>
      <c r="E10" s="157"/>
      <c r="F10" s="172">
        <v>0</v>
      </c>
      <c r="G10" s="172">
        <v>0</v>
      </c>
      <c r="H10" s="172">
        <v>0</v>
      </c>
      <c r="I10" s="157"/>
      <c r="J10" s="157"/>
      <c r="K10" s="172">
        <v>0</v>
      </c>
      <c r="L10" s="172">
        <v>0</v>
      </c>
      <c r="M10" s="172" t="s">
        <v>225</v>
      </c>
      <c r="N10" s="172">
        <v>0</v>
      </c>
      <c r="O10" s="172">
        <v>0</v>
      </c>
      <c r="P10" s="172">
        <v>0</v>
      </c>
      <c r="Q10" s="172">
        <v>0</v>
      </c>
      <c r="R10" s="172">
        <v>0</v>
      </c>
      <c r="S10" s="172">
        <v>0</v>
      </c>
      <c r="T10" s="172">
        <v>0</v>
      </c>
      <c r="U10" s="172">
        <v>0</v>
      </c>
      <c r="V10" s="157"/>
      <c r="W10" s="157"/>
      <c r="X10" s="172">
        <v>0</v>
      </c>
      <c r="Y10" s="172">
        <v>0</v>
      </c>
      <c r="Z10" s="172">
        <v>0</v>
      </c>
      <c r="AA10" s="172">
        <v>0</v>
      </c>
      <c r="AB10" s="172">
        <v>0</v>
      </c>
      <c r="AC10" s="172">
        <v>0</v>
      </c>
    </row>
    <row r="11" spans="1:29" x14ac:dyDescent="0.35">
      <c r="A11" s="155" t="s">
        <v>161</v>
      </c>
      <c r="B11" s="156" t="s">
        <v>163</v>
      </c>
      <c r="C11" s="172">
        <v>3092</v>
      </c>
      <c r="D11" s="172">
        <v>3092</v>
      </c>
      <c r="E11" s="157"/>
      <c r="F11" s="172">
        <v>14196</v>
      </c>
      <c r="G11" s="172">
        <v>14196</v>
      </c>
      <c r="H11" s="172">
        <v>3092</v>
      </c>
      <c r="I11" s="157"/>
      <c r="J11" s="157"/>
      <c r="K11" s="172">
        <v>0</v>
      </c>
      <c r="L11" s="172">
        <v>0</v>
      </c>
      <c r="M11" s="172">
        <v>3092</v>
      </c>
      <c r="N11" s="172">
        <v>7427</v>
      </c>
      <c r="O11" s="172">
        <v>7542</v>
      </c>
      <c r="P11" s="172">
        <v>14196</v>
      </c>
      <c r="Q11" s="172">
        <v>14196</v>
      </c>
      <c r="R11" s="172">
        <v>7427</v>
      </c>
      <c r="S11" s="172">
        <v>3092</v>
      </c>
      <c r="T11" s="172">
        <v>3092</v>
      </c>
      <c r="U11" s="172">
        <v>14196</v>
      </c>
      <c r="V11" s="157"/>
      <c r="W11" s="157"/>
      <c r="X11" s="172">
        <v>3092</v>
      </c>
      <c r="Y11" s="172">
        <v>14196</v>
      </c>
      <c r="Z11" s="172">
        <v>0</v>
      </c>
      <c r="AA11" s="172">
        <v>0</v>
      </c>
      <c r="AB11" s="172">
        <v>0</v>
      </c>
      <c r="AC11" s="172">
        <v>3092</v>
      </c>
    </row>
    <row r="12" spans="1:29" x14ac:dyDescent="0.35">
      <c r="A12" s="155" t="s">
        <v>164</v>
      </c>
      <c r="B12" s="156"/>
      <c r="C12" s="178">
        <v>42845</v>
      </c>
      <c r="D12" s="178">
        <v>42845</v>
      </c>
      <c r="E12" s="157"/>
      <c r="F12" s="176">
        <v>43618</v>
      </c>
      <c r="G12" s="176">
        <v>43618</v>
      </c>
      <c r="H12" s="178">
        <v>42845</v>
      </c>
      <c r="I12" s="157"/>
      <c r="J12" s="157"/>
      <c r="K12" s="178">
        <v>43160</v>
      </c>
      <c r="L12" s="178">
        <v>43160</v>
      </c>
      <c r="M12" s="178">
        <v>42845</v>
      </c>
      <c r="N12" s="178">
        <v>43055</v>
      </c>
      <c r="O12" s="178">
        <v>43133</v>
      </c>
      <c r="P12" s="176">
        <v>43618</v>
      </c>
      <c r="Q12" s="176">
        <v>43618</v>
      </c>
      <c r="R12" s="178">
        <v>43055</v>
      </c>
      <c r="S12" s="178">
        <v>42845</v>
      </c>
      <c r="T12" s="178">
        <v>42845</v>
      </c>
      <c r="U12" s="176">
        <v>43618</v>
      </c>
      <c r="V12" s="157"/>
      <c r="W12" s="157"/>
      <c r="X12" s="178">
        <v>42845</v>
      </c>
      <c r="Y12" s="176">
        <v>43618</v>
      </c>
      <c r="Z12" s="178">
        <v>43160</v>
      </c>
      <c r="AA12" s="178">
        <v>43160</v>
      </c>
      <c r="AB12" s="178">
        <v>43160</v>
      </c>
      <c r="AC12" s="178">
        <v>42845</v>
      </c>
    </row>
    <row r="13" spans="1:29" ht="29" x14ac:dyDescent="0.35">
      <c r="A13" s="160" t="s">
        <v>165</v>
      </c>
      <c r="B13" s="161"/>
      <c r="C13" s="162" t="s">
        <v>166</v>
      </c>
      <c r="D13" s="162" t="s">
        <v>166</v>
      </c>
      <c r="E13" s="157"/>
      <c r="F13" s="162" t="s">
        <v>166</v>
      </c>
      <c r="G13" s="162" t="s">
        <v>166</v>
      </c>
      <c r="H13" s="162" t="s">
        <v>166</v>
      </c>
      <c r="I13" s="157"/>
      <c r="J13" s="157"/>
      <c r="K13" s="162" t="s">
        <v>166</v>
      </c>
      <c r="L13" s="162" t="s">
        <v>166</v>
      </c>
      <c r="M13" s="162" t="s">
        <v>166</v>
      </c>
      <c r="N13" s="162" t="s">
        <v>166</v>
      </c>
      <c r="O13" s="162" t="s">
        <v>166</v>
      </c>
      <c r="P13" s="162" t="s">
        <v>166</v>
      </c>
      <c r="Q13" s="162" t="s">
        <v>166</v>
      </c>
      <c r="R13" s="162" t="s">
        <v>166</v>
      </c>
      <c r="S13" s="162" t="s">
        <v>166</v>
      </c>
      <c r="T13" s="162" t="s">
        <v>166</v>
      </c>
      <c r="U13" s="162" t="s">
        <v>166</v>
      </c>
      <c r="V13" s="157"/>
      <c r="W13" s="157"/>
      <c r="X13" s="162" t="s">
        <v>166</v>
      </c>
      <c r="Y13" s="162" t="s">
        <v>166</v>
      </c>
      <c r="Z13" s="162" t="s">
        <v>166</v>
      </c>
      <c r="AA13" s="162" t="s">
        <v>166</v>
      </c>
      <c r="AB13" s="162" t="s">
        <v>166</v>
      </c>
      <c r="AC13" s="162" t="s">
        <v>166</v>
      </c>
    </row>
    <row r="14" spans="1:29" x14ac:dyDescent="0.35">
      <c r="A14" s="225" t="s">
        <v>167</v>
      </c>
      <c r="B14" s="225"/>
      <c r="C14" s="225">
        <f>IFERROR(C11-C10,"")</f>
        <v>3092</v>
      </c>
      <c r="D14" s="225">
        <f t="shared" ref="D14:V14" si="0">IFERROR(D11-D10,"")</f>
        <v>3092</v>
      </c>
      <c r="E14" s="225">
        <f t="shared" si="0"/>
        <v>0</v>
      </c>
      <c r="F14" s="225">
        <f t="shared" si="0"/>
        <v>14196</v>
      </c>
      <c r="G14" s="225">
        <f t="shared" si="0"/>
        <v>14196</v>
      </c>
      <c r="H14" s="225">
        <f t="shared" si="0"/>
        <v>3092</v>
      </c>
      <c r="I14" s="225">
        <f t="shared" si="0"/>
        <v>0</v>
      </c>
      <c r="J14" s="225">
        <f t="shared" si="0"/>
        <v>0</v>
      </c>
      <c r="K14" s="225">
        <f t="shared" si="0"/>
        <v>0</v>
      </c>
      <c r="L14" s="225">
        <f t="shared" si="0"/>
        <v>0</v>
      </c>
      <c r="M14" s="225" t="str">
        <f t="shared" si="0"/>
        <v/>
      </c>
      <c r="N14" s="225">
        <f t="shared" si="0"/>
        <v>7427</v>
      </c>
      <c r="O14" s="225">
        <f t="shared" si="0"/>
        <v>7542</v>
      </c>
      <c r="P14" s="225">
        <f t="shared" si="0"/>
        <v>14196</v>
      </c>
      <c r="Q14" s="225">
        <f t="shared" si="0"/>
        <v>14196</v>
      </c>
      <c r="R14" s="225">
        <f t="shared" si="0"/>
        <v>7427</v>
      </c>
      <c r="S14" s="225">
        <f t="shared" si="0"/>
        <v>3092</v>
      </c>
      <c r="T14" s="225">
        <f t="shared" si="0"/>
        <v>3092</v>
      </c>
      <c r="U14" s="225">
        <f t="shared" si="0"/>
        <v>14196</v>
      </c>
      <c r="V14" s="225">
        <f t="shared" si="0"/>
        <v>0</v>
      </c>
    </row>
    <row r="15" spans="1:29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</row>
    <row r="16" spans="1:29" x14ac:dyDescent="0.35">
      <c r="A16" s="150" t="s">
        <v>159</v>
      </c>
      <c r="B16" s="151"/>
      <c r="C16" s="178">
        <v>42845</v>
      </c>
      <c r="D16" s="178">
        <v>42845</v>
      </c>
      <c r="E16" s="154"/>
      <c r="F16" s="154"/>
      <c r="G16" s="154"/>
      <c r="H16" s="178">
        <v>42845</v>
      </c>
      <c r="I16" s="154"/>
      <c r="J16" s="154"/>
      <c r="K16" s="154"/>
      <c r="L16" s="154"/>
      <c r="M16" s="178">
        <v>42845</v>
      </c>
      <c r="N16" s="178">
        <v>43055</v>
      </c>
      <c r="O16" s="178">
        <v>43133</v>
      </c>
      <c r="P16" s="154"/>
      <c r="Q16" s="154"/>
      <c r="R16" s="154"/>
      <c r="S16" s="178">
        <v>42845</v>
      </c>
      <c r="T16" s="178">
        <v>42845</v>
      </c>
      <c r="U16" s="154"/>
      <c r="V16" s="152"/>
      <c r="W16" s="152"/>
      <c r="X16" s="178">
        <v>42845</v>
      </c>
      <c r="Y16" s="152"/>
      <c r="Z16" s="152"/>
      <c r="AA16" s="178"/>
      <c r="AB16" s="178"/>
      <c r="AC16" s="178">
        <v>42845</v>
      </c>
    </row>
    <row r="17" spans="1:29" x14ac:dyDescent="0.35">
      <c r="A17" s="155" t="s">
        <v>161</v>
      </c>
      <c r="B17" s="156" t="s">
        <v>162</v>
      </c>
      <c r="C17" s="172">
        <v>3092</v>
      </c>
      <c r="D17" s="172">
        <v>3092</v>
      </c>
      <c r="E17" s="157"/>
      <c r="F17" s="157"/>
      <c r="G17" s="157"/>
      <c r="H17" s="172">
        <v>3092</v>
      </c>
      <c r="I17" s="157"/>
      <c r="J17" s="157"/>
      <c r="K17" s="157"/>
      <c r="L17" s="157"/>
      <c r="M17" s="172">
        <v>3092</v>
      </c>
      <c r="N17" s="172">
        <v>7427</v>
      </c>
      <c r="O17" s="172">
        <v>7542</v>
      </c>
      <c r="P17" s="157"/>
      <c r="Q17" s="157"/>
      <c r="R17" s="157"/>
      <c r="S17" s="172">
        <v>3092</v>
      </c>
      <c r="T17" s="172">
        <v>3092</v>
      </c>
      <c r="U17" s="157"/>
      <c r="V17" s="157"/>
      <c r="W17" s="157"/>
      <c r="X17" s="172">
        <v>3092</v>
      </c>
      <c r="Y17" s="157"/>
      <c r="Z17" s="157"/>
      <c r="AA17" s="172"/>
      <c r="AB17" s="172"/>
      <c r="AC17" s="172">
        <v>3092</v>
      </c>
    </row>
    <row r="18" spans="1:29" x14ac:dyDescent="0.35">
      <c r="A18" s="155" t="s">
        <v>161</v>
      </c>
      <c r="B18" s="156" t="s">
        <v>163</v>
      </c>
      <c r="C18" s="172">
        <v>7427</v>
      </c>
      <c r="D18" s="172">
        <v>7427</v>
      </c>
      <c r="E18" s="157"/>
      <c r="F18" s="157"/>
      <c r="G18" s="157"/>
      <c r="H18" s="172">
        <v>14196</v>
      </c>
      <c r="I18" s="157"/>
      <c r="J18" s="157"/>
      <c r="K18" s="157"/>
      <c r="L18" s="157"/>
      <c r="M18" s="172">
        <v>14196</v>
      </c>
      <c r="N18" s="172">
        <v>7542</v>
      </c>
      <c r="O18" s="172">
        <v>14196</v>
      </c>
      <c r="P18" s="157"/>
      <c r="Q18" s="157"/>
      <c r="R18" s="157"/>
      <c r="S18" s="172">
        <v>7427</v>
      </c>
      <c r="T18" s="172">
        <v>7427</v>
      </c>
      <c r="U18" s="157"/>
      <c r="V18" s="157"/>
      <c r="W18" s="157"/>
      <c r="X18" s="172">
        <v>14196</v>
      </c>
      <c r="Y18" s="157"/>
      <c r="Z18" s="157"/>
      <c r="AA18" s="172"/>
      <c r="AB18" s="172"/>
      <c r="AC18" s="172">
        <v>7542</v>
      </c>
    </row>
    <row r="19" spans="1:29" x14ac:dyDescent="0.35">
      <c r="A19" s="155" t="s">
        <v>164</v>
      </c>
      <c r="B19" s="156"/>
      <c r="C19" s="178">
        <v>43055</v>
      </c>
      <c r="D19" s="178">
        <v>43055</v>
      </c>
      <c r="E19" s="157"/>
      <c r="F19" s="157"/>
      <c r="G19" s="157"/>
      <c r="H19" s="176">
        <v>43618</v>
      </c>
      <c r="I19" s="157"/>
      <c r="J19" s="157"/>
      <c r="K19" s="157"/>
      <c r="L19" s="157"/>
      <c r="M19" s="176">
        <v>43618</v>
      </c>
      <c r="N19" s="178">
        <v>43133</v>
      </c>
      <c r="O19" s="176">
        <v>43618</v>
      </c>
      <c r="P19" s="157"/>
      <c r="Q19" s="157"/>
      <c r="R19" s="157"/>
      <c r="S19" s="178">
        <v>43055</v>
      </c>
      <c r="T19" s="178">
        <v>43055</v>
      </c>
      <c r="U19" s="157"/>
      <c r="V19" s="157"/>
      <c r="W19" s="157"/>
      <c r="X19" s="176">
        <v>43618</v>
      </c>
      <c r="Y19" s="157"/>
      <c r="Z19" s="157"/>
      <c r="AA19" s="178"/>
      <c r="AB19" s="178"/>
      <c r="AC19" s="178">
        <v>43133</v>
      </c>
    </row>
    <row r="20" spans="1:29" ht="29" x14ac:dyDescent="0.35">
      <c r="A20" s="160" t="s">
        <v>165</v>
      </c>
      <c r="B20" s="167"/>
      <c r="C20" s="162" t="s">
        <v>166</v>
      </c>
      <c r="D20" s="162" t="s">
        <v>166</v>
      </c>
      <c r="E20" s="157"/>
      <c r="F20" s="157"/>
      <c r="G20" s="157"/>
      <c r="H20" s="162" t="s">
        <v>166</v>
      </c>
      <c r="I20" s="157"/>
      <c r="J20" s="157"/>
      <c r="K20" s="157"/>
      <c r="L20" s="157"/>
      <c r="M20" s="162" t="s">
        <v>166</v>
      </c>
      <c r="N20" s="162" t="s">
        <v>166</v>
      </c>
      <c r="O20" s="162" t="s">
        <v>166</v>
      </c>
      <c r="P20" s="157"/>
      <c r="Q20" s="157"/>
      <c r="R20" s="157"/>
      <c r="S20" s="162" t="s">
        <v>166</v>
      </c>
      <c r="T20" s="162" t="s">
        <v>166</v>
      </c>
      <c r="U20" s="157"/>
      <c r="V20" s="157"/>
      <c r="W20" s="157"/>
      <c r="X20" s="162" t="s">
        <v>166</v>
      </c>
      <c r="Y20" s="157"/>
      <c r="Z20" s="157"/>
      <c r="AA20" s="162"/>
      <c r="AB20" s="162"/>
      <c r="AC20" s="162" t="s">
        <v>166</v>
      </c>
    </row>
    <row r="21" spans="1:29" x14ac:dyDescent="0.35">
      <c r="A21" s="225" t="s">
        <v>167</v>
      </c>
      <c r="B21" s="225"/>
      <c r="C21" s="225">
        <f>IFERROR(C18-C17,"")</f>
        <v>4335</v>
      </c>
      <c r="D21" s="225">
        <f t="shared" ref="D21:V21" si="1">IFERROR(D18-D17,"")</f>
        <v>4335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11104</v>
      </c>
      <c r="I21" s="225">
        <f t="shared" si="1"/>
        <v>0</v>
      </c>
      <c r="J21" s="225">
        <f t="shared" si="1"/>
        <v>0</v>
      </c>
      <c r="K21" s="225">
        <f t="shared" si="1"/>
        <v>0</v>
      </c>
      <c r="L21" s="225">
        <f t="shared" si="1"/>
        <v>0</v>
      </c>
      <c r="M21" s="225">
        <f t="shared" si="1"/>
        <v>11104</v>
      </c>
      <c r="N21" s="225">
        <f t="shared" si="1"/>
        <v>115</v>
      </c>
      <c r="O21" s="225">
        <f t="shared" si="1"/>
        <v>6654</v>
      </c>
      <c r="P21" s="225">
        <f t="shared" si="1"/>
        <v>0</v>
      </c>
      <c r="Q21" s="225">
        <f t="shared" si="1"/>
        <v>0</v>
      </c>
      <c r="R21" s="225">
        <f t="shared" si="1"/>
        <v>0</v>
      </c>
      <c r="S21" s="225">
        <f t="shared" si="1"/>
        <v>4335</v>
      </c>
      <c r="T21" s="225">
        <f t="shared" si="1"/>
        <v>4335</v>
      </c>
      <c r="U21" s="225">
        <f t="shared" si="1"/>
        <v>0</v>
      </c>
      <c r="V21" s="225">
        <f t="shared" si="1"/>
        <v>0</v>
      </c>
    </row>
    <row r="22" spans="1:29" ht="16.399999999999999" customHeight="1" x14ac:dyDescent="0.35">
      <c r="A22" s="65" t="s">
        <v>2</v>
      </c>
      <c r="B22" s="65"/>
      <c r="C22" s="65">
        <f>AVERAGE(C14,C21)</f>
        <v>3713.5</v>
      </c>
      <c r="D22" s="65">
        <f t="shared" ref="D22:V22" si="2">AVERAGE(D14,D21)</f>
        <v>3713.5</v>
      </c>
      <c r="E22" s="65">
        <f t="shared" si="2"/>
        <v>0</v>
      </c>
      <c r="F22" s="65">
        <f t="shared" si="2"/>
        <v>7098</v>
      </c>
      <c r="G22" s="65">
        <f t="shared" si="2"/>
        <v>7098</v>
      </c>
      <c r="H22" s="65">
        <f t="shared" si="2"/>
        <v>7098</v>
      </c>
      <c r="I22" s="65">
        <f t="shared" si="2"/>
        <v>0</v>
      </c>
      <c r="J22" s="65">
        <f t="shared" si="2"/>
        <v>0</v>
      </c>
      <c r="K22" s="65">
        <f t="shared" si="2"/>
        <v>0</v>
      </c>
      <c r="L22" s="65">
        <f t="shared" si="2"/>
        <v>0</v>
      </c>
      <c r="M22" s="65">
        <f t="shared" si="2"/>
        <v>11104</v>
      </c>
      <c r="N22" s="65">
        <f t="shared" si="2"/>
        <v>3771</v>
      </c>
      <c r="O22" s="65">
        <f t="shared" si="2"/>
        <v>7098</v>
      </c>
      <c r="P22" s="65">
        <f t="shared" si="2"/>
        <v>7098</v>
      </c>
      <c r="Q22" s="65">
        <f t="shared" si="2"/>
        <v>7098</v>
      </c>
      <c r="R22" s="65">
        <f t="shared" si="2"/>
        <v>3713.5</v>
      </c>
      <c r="S22" s="65">
        <f t="shared" si="2"/>
        <v>3713.5</v>
      </c>
      <c r="T22" s="65">
        <f t="shared" si="2"/>
        <v>3713.5</v>
      </c>
      <c r="U22" s="65">
        <f t="shared" si="2"/>
        <v>7098</v>
      </c>
      <c r="V22" s="65">
        <f t="shared" si="2"/>
        <v>0</v>
      </c>
    </row>
    <row r="23" spans="1:29" x14ac:dyDescent="0.35">
      <c r="A23" s="150" t="s">
        <v>159</v>
      </c>
      <c r="B23" s="151"/>
      <c r="C23" s="178">
        <v>43055</v>
      </c>
      <c r="D23" s="178">
        <v>43055</v>
      </c>
      <c r="E23" s="154"/>
      <c r="F23" s="154"/>
      <c r="G23" s="154"/>
      <c r="H23" s="154"/>
      <c r="I23" s="154"/>
      <c r="J23" s="154"/>
      <c r="K23" s="154"/>
      <c r="L23" s="154"/>
      <c r="M23" s="154"/>
      <c r="N23" s="178">
        <v>43133</v>
      </c>
      <c r="O23" s="154"/>
      <c r="P23" s="154"/>
      <c r="Q23" s="154"/>
      <c r="R23" s="154"/>
      <c r="S23" s="178">
        <v>43055</v>
      </c>
      <c r="T23" s="178">
        <v>43055</v>
      </c>
      <c r="U23" s="154"/>
      <c r="V23" s="152"/>
      <c r="W23" s="152"/>
      <c r="X23" s="152"/>
      <c r="Y23" s="152"/>
      <c r="Z23" s="152"/>
      <c r="AA23" s="154"/>
      <c r="AB23" s="154"/>
      <c r="AC23" s="178">
        <v>43133</v>
      </c>
    </row>
    <row r="24" spans="1:29" x14ac:dyDescent="0.35">
      <c r="A24" s="155" t="s">
        <v>161</v>
      </c>
      <c r="B24" s="156" t="s">
        <v>162</v>
      </c>
      <c r="C24" s="172">
        <v>7427</v>
      </c>
      <c r="D24" s="172">
        <v>7427</v>
      </c>
      <c r="E24" s="157"/>
      <c r="F24" s="157"/>
      <c r="G24" s="157"/>
      <c r="H24" s="157"/>
      <c r="I24" s="157"/>
      <c r="J24" s="157"/>
      <c r="K24" s="157"/>
      <c r="L24" s="157"/>
      <c r="M24" s="157"/>
      <c r="N24" s="172">
        <v>7542</v>
      </c>
      <c r="O24" s="157"/>
      <c r="P24" s="157"/>
      <c r="Q24" s="157"/>
      <c r="R24" s="157"/>
      <c r="S24" s="172">
        <v>7427</v>
      </c>
      <c r="T24" s="172">
        <v>7427</v>
      </c>
      <c r="U24" s="157"/>
      <c r="V24" s="157"/>
      <c r="W24" s="157"/>
      <c r="X24" s="157"/>
      <c r="Y24" s="157"/>
      <c r="Z24" s="157"/>
      <c r="AA24" s="157"/>
      <c r="AB24" s="157"/>
      <c r="AC24" s="172">
        <v>7542</v>
      </c>
    </row>
    <row r="25" spans="1:29" x14ac:dyDescent="0.35">
      <c r="A25" s="155" t="s">
        <v>161</v>
      </c>
      <c r="B25" s="156" t="s">
        <v>163</v>
      </c>
      <c r="C25" s="172">
        <v>14196</v>
      </c>
      <c r="D25" s="172">
        <v>14196</v>
      </c>
      <c r="E25" s="157"/>
      <c r="F25" s="157"/>
      <c r="G25" s="157"/>
      <c r="H25" s="157"/>
      <c r="I25" s="157"/>
      <c r="J25" s="157"/>
      <c r="K25" s="157"/>
      <c r="L25" s="157"/>
      <c r="M25" s="157"/>
      <c r="N25" s="172">
        <v>14196</v>
      </c>
      <c r="O25" s="157"/>
      <c r="P25" s="157"/>
      <c r="Q25" s="157"/>
      <c r="R25" s="157"/>
      <c r="S25" s="172" t="s">
        <v>225</v>
      </c>
      <c r="T25" s="172">
        <v>14196</v>
      </c>
      <c r="U25" s="157"/>
      <c r="V25" s="157"/>
      <c r="W25" s="157"/>
      <c r="X25" s="157"/>
      <c r="Y25" s="157"/>
      <c r="Z25" s="157"/>
      <c r="AA25" s="157"/>
      <c r="AB25" s="157"/>
      <c r="AC25" s="172">
        <v>14196</v>
      </c>
    </row>
    <row r="26" spans="1:29" x14ac:dyDescent="0.35">
      <c r="A26" s="155" t="s">
        <v>164</v>
      </c>
      <c r="B26" s="156"/>
      <c r="C26" s="176">
        <v>43618</v>
      </c>
      <c r="D26" s="176">
        <v>43618</v>
      </c>
      <c r="E26" s="157"/>
      <c r="F26" s="157"/>
      <c r="G26" s="157"/>
      <c r="H26" s="157"/>
      <c r="I26" s="157"/>
      <c r="J26" s="157"/>
      <c r="K26" s="157"/>
      <c r="L26" s="157"/>
      <c r="M26" s="157"/>
      <c r="N26" s="176">
        <v>43618</v>
      </c>
      <c r="O26" s="157"/>
      <c r="P26" s="157"/>
      <c r="Q26" s="157"/>
      <c r="R26" s="157"/>
      <c r="S26" s="178">
        <v>43084</v>
      </c>
      <c r="T26" s="176">
        <v>43618</v>
      </c>
      <c r="U26" s="157"/>
      <c r="V26" s="157"/>
      <c r="W26" s="157"/>
      <c r="X26" s="157"/>
      <c r="Y26" s="157"/>
      <c r="Z26" s="157"/>
      <c r="AA26" s="157"/>
      <c r="AB26" s="157"/>
      <c r="AC26" s="176">
        <v>43618</v>
      </c>
    </row>
    <row r="27" spans="1:29" ht="29" x14ac:dyDescent="0.35">
      <c r="A27" s="160" t="s">
        <v>165</v>
      </c>
      <c r="B27" s="167"/>
      <c r="C27" s="162" t="s">
        <v>166</v>
      </c>
      <c r="D27" s="162" t="s">
        <v>166</v>
      </c>
      <c r="E27" s="157"/>
      <c r="F27" s="157"/>
      <c r="G27" s="157"/>
      <c r="H27" s="157"/>
      <c r="I27" s="157"/>
      <c r="J27" s="157"/>
      <c r="K27" s="157"/>
      <c r="L27" s="157"/>
      <c r="M27" s="157"/>
      <c r="N27" s="162" t="s">
        <v>166</v>
      </c>
      <c r="O27" s="157"/>
      <c r="P27" s="157"/>
      <c r="Q27" s="157"/>
      <c r="R27" s="157"/>
      <c r="S27" s="162" t="s">
        <v>166</v>
      </c>
      <c r="T27" s="162" t="s">
        <v>166</v>
      </c>
      <c r="U27" s="157"/>
      <c r="V27" s="157"/>
      <c r="W27" s="157"/>
      <c r="X27" s="157"/>
      <c r="Y27" s="157"/>
      <c r="Z27" s="157"/>
      <c r="AA27" s="157"/>
      <c r="AB27" s="157"/>
      <c r="AC27" s="162" t="s">
        <v>166</v>
      </c>
    </row>
    <row r="28" spans="1:29" x14ac:dyDescent="0.35">
      <c r="A28" s="225" t="s">
        <v>167</v>
      </c>
      <c r="B28" s="225"/>
      <c r="C28" s="225">
        <f>IFERROR(C25-C24,"")</f>
        <v>6769</v>
      </c>
      <c r="D28" s="225">
        <f t="shared" ref="D28:V28" si="3">IFERROR(D25-D24,"")</f>
        <v>6769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6654</v>
      </c>
      <c r="O28" s="225">
        <f t="shared" si="3"/>
        <v>0</v>
      </c>
      <c r="P28" s="225">
        <f t="shared" si="3"/>
        <v>0</v>
      </c>
      <c r="Q28" s="225">
        <f t="shared" si="3"/>
        <v>0</v>
      </c>
      <c r="R28" s="225">
        <f t="shared" si="3"/>
        <v>0</v>
      </c>
      <c r="S28" s="225" t="str">
        <f t="shared" si="3"/>
        <v/>
      </c>
      <c r="T28" s="225">
        <f t="shared" si="3"/>
        <v>6769</v>
      </c>
      <c r="U28" s="225">
        <f t="shared" si="3"/>
        <v>0</v>
      </c>
      <c r="V28" s="225">
        <f t="shared" si="3"/>
        <v>0</v>
      </c>
    </row>
    <row r="29" spans="1:29" ht="16.399999999999999" customHeight="1" x14ac:dyDescent="0.35">
      <c r="A29" s="65" t="s">
        <v>2</v>
      </c>
      <c r="B29" s="65"/>
      <c r="C29" s="65">
        <f>AVERAGE(C21,C28,C14)</f>
        <v>4732</v>
      </c>
      <c r="D29" s="65">
        <f t="shared" ref="D29:V29" si="4">AVERAGE(D21,D28,D14)</f>
        <v>4732</v>
      </c>
      <c r="E29" s="65">
        <f t="shared" si="4"/>
        <v>0</v>
      </c>
      <c r="F29" s="65">
        <f t="shared" si="4"/>
        <v>4732</v>
      </c>
      <c r="G29" s="65">
        <f t="shared" si="4"/>
        <v>4732</v>
      </c>
      <c r="H29" s="65">
        <f t="shared" si="4"/>
        <v>4732</v>
      </c>
      <c r="I29" s="65">
        <f t="shared" si="4"/>
        <v>0</v>
      </c>
      <c r="J29" s="65">
        <f t="shared" si="4"/>
        <v>0</v>
      </c>
      <c r="K29" s="65">
        <f t="shared" si="4"/>
        <v>0</v>
      </c>
      <c r="L29" s="65">
        <f t="shared" si="4"/>
        <v>0</v>
      </c>
      <c r="M29" s="65">
        <f t="shared" si="4"/>
        <v>5552</v>
      </c>
      <c r="N29" s="65">
        <f t="shared" si="4"/>
        <v>4732</v>
      </c>
      <c r="O29" s="65">
        <f t="shared" si="4"/>
        <v>4732</v>
      </c>
      <c r="P29" s="65">
        <f t="shared" si="4"/>
        <v>4732</v>
      </c>
      <c r="Q29" s="65">
        <f t="shared" si="4"/>
        <v>4732</v>
      </c>
      <c r="R29" s="65">
        <f t="shared" si="4"/>
        <v>2475.6666666666665</v>
      </c>
      <c r="S29" s="65">
        <f t="shared" si="4"/>
        <v>3713.5</v>
      </c>
      <c r="T29" s="65">
        <f t="shared" si="4"/>
        <v>4732</v>
      </c>
      <c r="U29" s="65">
        <f t="shared" si="4"/>
        <v>4732</v>
      </c>
      <c r="V29" s="65">
        <f t="shared" si="4"/>
        <v>0</v>
      </c>
    </row>
    <row r="30" spans="1:29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4"/>
      <c r="K30" s="154"/>
      <c r="L30" s="154"/>
      <c r="M30" s="154"/>
      <c r="N30" s="176">
        <v>43618</v>
      </c>
      <c r="O30" s="154"/>
      <c r="P30" s="154"/>
      <c r="Q30" s="154"/>
      <c r="R30" s="154"/>
      <c r="S30" s="178">
        <v>43084</v>
      </c>
      <c r="T30" s="152">
        <v>43618</v>
      </c>
      <c r="U30" s="154"/>
      <c r="V30" s="152"/>
      <c r="W30" s="152"/>
      <c r="X30" s="152"/>
      <c r="Y30" s="152"/>
      <c r="Z30" s="152"/>
      <c r="AA30" s="154"/>
      <c r="AB30" s="154"/>
      <c r="AC30" s="154"/>
    </row>
    <row r="31" spans="1:29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72">
        <v>14196</v>
      </c>
      <c r="O31" s="157"/>
      <c r="P31" s="157"/>
      <c r="Q31" s="157"/>
      <c r="R31" s="157"/>
      <c r="S31" s="172" t="s">
        <v>225</v>
      </c>
      <c r="T31" s="157">
        <v>14196</v>
      </c>
      <c r="U31" s="157"/>
      <c r="V31" s="157"/>
      <c r="W31" s="157"/>
      <c r="X31" s="157"/>
      <c r="Y31" s="157"/>
      <c r="Z31" s="157"/>
      <c r="AA31" s="157"/>
      <c r="AB31" s="157"/>
      <c r="AC31" s="157"/>
    </row>
    <row r="32" spans="1:29" x14ac:dyDescent="0.35">
      <c r="A32" s="155" t="s">
        <v>161</v>
      </c>
      <c r="B32" s="156" t="s">
        <v>163</v>
      </c>
      <c r="C32" s="172">
        <v>16874</v>
      </c>
      <c r="D32" s="172">
        <v>16874</v>
      </c>
      <c r="E32" s="157"/>
      <c r="F32" s="157"/>
      <c r="G32" s="157"/>
      <c r="H32" s="157"/>
      <c r="I32" s="157"/>
      <c r="J32" s="157"/>
      <c r="K32" s="157"/>
      <c r="L32" s="157"/>
      <c r="M32" s="157"/>
      <c r="N32" s="172">
        <v>16444</v>
      </c>
      <c r="O32" s="157"/>
      <c r="P32" s="157"/>
      <c r="Q32" s="157"/>
      <c r="R32" s="157"/>
      <c r="S32" s="172">
        <v>7542</v>
      </c>
      <c r="T32" s="172">
        <v>21074</v>
      </c>
      <c r="U32" s="157"/>
      <c r="V32" s="157"/>
      <c r="W32" s="157"/>
      <c r="X32" s="157"/>
      <c r="Y32" s="157"/>
      <c r="Z32" s="157"/>
      <c r="AA32" s="157"/>
      <c r="AB32" s="157"/>
      <c r="AC32" s="172">
        <v>16874</v>
      </c>
    </row>
    <row r="33" spans="1:29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57"/>
      <c r="K33" s="157"/>
      <c r="L33" s="157"/>
      <c r="M33" s="157"/>
      <c r="N33" s="176">
        <v>43726</v>
      </c>
      <c r="O33" s="157"/>
      <c r="P33" s="157"/>
      <c r="Q33" s="157"/>
      <c r="R33" s="157"/>
      <c r="S33" s="178">
        <v>43133</v>
      </c>
      <c r="T33" s="157" t="s">
        <v>457</v>
      </c>
      <c r="U33" s="157"/>
      <c r="V33" s="157"/>
      <c r="W33" s="157"/>
      <c r="X33" s="157"/>
      <c r="Y33" s="157"/>
      <c r="Z33" s="157"/>
      <c r="AA33" s="157"/>
      <c r="AB33" s="157"/>
      <c r="AC33" s="157"/>
    </row>
    <row r="34" spans="1:29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62" t="s">
        <v>166</v>
      </c>
      <c r="O34" s="157"/>
      <c r="P34" s="157"/>
      <c r="Q34" s="157"/>
      <c r="R34" s="157"/>
      <c r="S34" s="162" t="s">
        <v>166</v>
      </c>
      <c r="T34" s="157" t="s">
        <v>267</v>
      </c>
      <c r="U34" s="157"/>
      <c r="V34" s="157"/>
      <c r="W34" s="157"/>
      <c r="X34" s="157"/>
      <c r="Y34" s="157"/>
      <c r="Z34" s="157"/>
      <c r="AA34" s="157"/>
      <c r="AB34" s="157"/>
      <c r="AC34" s="157"/>
    </row>
    <row r="35" spans="1:29" x14ac:dyDescent="0.35">
      <c r="A35" s="225" t="s">
        <v>167</v>
      </c>
      <c r="B35" s="225"/>
      <c r="C35" s="225">
        <f>IFERROR(C32-C31,"")</f>
        <v>16874</v>
      </c>
      <c r="D35" s="225">
        <f t="shared" ref="D35:V35" si="5">IFERROR(D32-D31,"")</f>
        <v>16874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2248</v>
      </c>
      <c r="O35" s="225">
        <f t="shared" si="5"/>
        <v>0</v>
      </c>
      <c r="P35" s="225">
        <f t="shared" si="5"/>
        <v>0</v>
      </c>
      <c r="Q35" s="225">
        <f t="shared" si="5"/>
        <v>0</v>
      </c>
      <c r="R35" s="225">
        <f t="shared" si="5"/>
        <v>0</v>
      </c>
      <c r="S35" s="225" t="str">
        <f t="shared" si="5"/>
        <v/>
      </c>
      <c r="T35" s="225">
        <f t="shared" si="5"/>
        <v>6878</v>
      </c>
      <c r="U35" s="225">
        <f t="shared" si="5"/>
        <v>0</v>
      </c>
      <c r="V35" s="225">
        <f t="shared" si="5"/>
        <v>0</v>
      </c>
    </row>
    <row r="36" spans="1:29" ht="16.399999999999999" customHeight="1" x14ac:dyDescent="0.35">
      <c r="A36" s="65" t="s">
        <v>2</v>
      </c>
      <c r="B36" s="65"/>
      <c r="C36" s="65">
        <f>AVERAGE(C28,C35,C21,C14)</f>
        <v>7767.5</v>
      </c>
      <c r="D36" s="65">
        <f t="shared" ref="D36:V36" si="6">AVERAGE(D28,D35,D21,D14)</f>
        <v>7767.5</v>
      </c>
      <c r="E36" s="65">
        <f t="shared" si="6"/>
        <v>0</v>
      </c>
      <c r="F36" s="65">
        <f t="shared" si="6"/>
        <v>3549</v>
      </c>
      <c r="G36" s="65">
        <f t="shared" si="6"/>
        <v>3549</v>
      </c>
      <c r="H36" s="65">
        <f t="shared" si="6"/>
        <v>3549</v>
      </c>
      <c r="I36" s="65">
        <f t="shared" si="6"/>
        <v>0</v>
      </c>
      <c r="J36" s="65">
        <f t="shared" si="6"/>
        <v>0</v>
      </c>
      <c r="K36" s="65">
        <f t="shared" si="6"/>
        <v>0</v>
      </c>
      <c r="L36" s="65">
        <f t="shared" si="6"/>
        <v>0</v>
      </c>
      <c r="M36" s="65">
        <f t="shared" si="6"/>
        <v>3701.3333333333335</v>
      </c>
      <c r="N36" s="65">
        <f t="shared" si="6"/>
        <v>4111</v>
      </c>
      <c r="O36" s="65">
        <f t="shared" si="6"/>
        <v>3549</v>
      </c>
      <c r="P36" s="65">
        <f t="shared" si="6"/>
        <v>3549</v>
      </c>
      <c r="Q36" s="65">
        <f t="shared" si="6"/>
        <v>3549</v>
      </c>
      <c r="R36" s="65">
        <f t="shared" si="6"/>
        <v>1856.75</v>
      </c>
      <c r="S36" s="65">
        <f t="shared" si="6"/>
        <v>3713.5</v>
      </c>
      <c r="T36" s="65">
        <f t="shared" si="6"/>
        <v>5268.5</v>
      </c>
      <c r="U36" s="65">
        <f t="shared" si="6"/>
        <v>3549</v>
      </c>
      <c r="V36" s="65">
        <f t="shared" si="6"/>
        <v>0</v>
      </c>
    </row>
    <row r="37" spans="1:29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4"/>
      <c r="K37" s="154"/>
      <c r="L37" s="154"/>
      <c r="M37" s="154"/>
      <c r="N37" s="152"/>
      <c r="O37" s="154"/>
      <c r="P37" s="154"/>
      <c r="Q37" s="154"/>
      <c r="R37" s="154"/>
      <c r="S37" s="178">
        <v>43133</v>
      </c>
      <c r="T37" s="154"/>
      <c r="U37" s="154"/>
      <c r="V37" s="152"/>
      <c r="W37" s="152"/>
      <c r="X37" s="152"/>
      <c r="Y37" s="152"/>
      <c r="Z37" s="152"/>
      <c r="AA37" s="154"/>
      <c r="AB37" s="154"/>
      <c r="AC37" s="154"/>
    </row>
    <row r="38" spans="1:29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72">
        <v>7542</v>
      </c>
      <c r="T38" s="157"/>
      <c r="U38" s="157"/>
      <c r="V38" s="157"/>
      <c r="W38" s="157"/>
      <c r="X38" s="157"/>
      <c r="Y38" s="157"/>
      <c r="Z38" s="157"/>
      <c r="AA38" s="157"/>
      <c r="AB38" s="157"/>
      <c r="AC38" s="157"/>
    </row>
    <row r="39" spans="1:29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72">
        <v>16874</v>
      </c>
      <c r="O39" s="157"/>
      <c r="P39" s="157"/>
      <c r="Q39" s="157"/>
      <c r="R39" s="157"/>
      <c r="S39" s="172" t="s">
        <v>225</v>
      </c>
      <c r="T39" s="157"/>
      <c r="U39" s="157"/>
      <c r="V39" s="157"/>
      <c r="W39" s="157"/>
      <c r="X39" s="157"/>
      <c r="Y39" s="157"/>
      <c r="Z39" s="157"/>
      <c r="AA39" s="157"/>
      <c r="AB39" s="157"/>
      <c r="AC39" s="157"/>
    </row>
    <row r="40" spans="1:29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57"/>
      <c r="K40" s="157"/>
      <c r="L40" s="157"/>
      <c r="M40" s="157"/>
      <c r="N40" s="166"/>
      <c r="O40" s="157"/>
      <c r="P40" s="157"/>
      <c r="Q40" s="157"/>
      <c r="R40" s="157"/>
      <c r="S40" s="178">
        <v>43160</v>
      </c>
      <c r="T40" s="157"/>
      <c r="U40" s="157"/>
      <c r="V40" s="157"/>
      <c r="W40" s="157"/>
      <c r="X40" s="157"/>
      <c r="Y40" s="157"/>
      <c r="Z40" s="157"/>
      <c r="AA40" s="157"/>
      <c r="AB40" s="157"/>
      <c r="AC40" s="157"/>
    </row>
    <row r="41" spans="1:29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62" t="s">
        <v>166</v>
      </c>
      <c r="T41" s="157"/>
      <c r="U41" s="157"/>
      <c r="V41" s="157"/>
      <c r="W41" s="157"/>
      <c r="X41" s="157"/>
      <c r="Y41" s="157"/>
      <c r="Z41" s="157"/>
      <c r="AA41" s="157"/>
      <c r="AB41" s="157"/>
      <c r="AC41" s="157"/>
    </row>
    <row r="42" spans="1:29" x14ac:dyDescent="0.35">
      <c r="A42" s="225" t="s">
        <v>167</v>
      </c>
      <c r="B42" s="225"/>
      <c r="C42" s="225">
        <f>IFERROR(C39-C38,"")</f>
        <v>0</v>
      </c>
      <c r="D42" s="225">
        <f t="shared" ref="D42:V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16874</v>
      </c>
      <c r="O42" s="225">
        <f t="shared" si="7"/>
        <v>0</v>
      </c>
      <c r="P42" s="225">
        <f t="shared" si="7"/>
        <v>0</v>
      </c>
      <c r="Q42" s="225">
        <f t="shared" si="7"/>
        <v>0</v>
      </c>
      <c r="R42" s="225">
        <f t="shared" si="7"/>
        <v>0</v>
      </c>
      <c r="S42" s="225" t="str">
        <f t="shared" si="7"/>
        <v/>
      </c>
      <c r="T42" s="225">
        <f t="shared" si="7"/>
        <v>0</v>
      </c>
      <c r="U42" s="225">
        <f t="shared" si="7"/>
        <v>0</v>
      </c>
      <c r="V42" s="225">
        <f t="shared" si="7"/>
        <v>0</v>
      </c>
    </row>
    <row r="43" spans="1:29" ht="16.399999999999999" customHeight="1" x14ac:dyDescent="0.35">
      <c r="A43" s="65" t="s">
        <v>2</v>
      </c>
      <c r="B43" s="65"/>
      <c r="C43" s="65">
        <f>AVERAGE(C35,C42,C28,C21,C14)</f>
        <v>6214</v>
      </c>
      <c r="D43" s="65">
        <f t="shared" ref="D43:V43" si="8">AVERAGE(D35,D42,D28,D21,D14)</f>
        <v>6214</v>
      </c>
      <c r="E43" s="65">
        <f t="shared" si="8"/>
        <v>0</v>
      </c>
      <c r="F43" s="65">
        <f t="shared" si="8"/>
        <v>2839.2</v>
      </c>
      <c r="G43" s="65">
        <f t="shared" si="8"/>
        <v>2839.2</v>
      </c>
      <c r="H43" s="65">
        <f t="shared" si="8"/>
        <v>2839.2</v>
      </c>
      <c r="I43" s="65">
        <f t="shared" si="8"/>
        <v>0</v>
      </c>
      <c r="J43" s="65">
        <f t="shared" si="8"/>
        <v>0</v>
      </c>
      <c r="K43" s="65">
        <f t="shared" si="8"/>
        <v>0</v>
      </c>
      <c r="L43" s="65">
        <f t="shared" si="8"/>
        <v>0</v>
      </c>
      <c r="M43" s="65">
        <f t="shared" si="8"/>
        <v>2776</v>
      </c>
      <c r="N43" s="65">
        <f t="shared" si="8"/>
        <v>6663.6</v>
      </c>
      <c r="O43" s="65">
        <f t="shared" si="8"/>
        <v>2839.2</v>
      </c>
      <c r="P43" s="65">
        <f t="shared" si="8"/>
        <v>2839.2</v>
      </c>
      <c r="Q43" s="65">
        <f t="shared" si="8"/>
        <v>2839.2</v>
      </c>
      <c r="R43" s="65">
        <f t="shared" si="8"/>
        <v>1485.4</v>
      </c>
      <c r="S43" s="65">
        <f t="shared" si="8"/>
        <v>3713.5</v>
      </c>
      <c r="T43" s="65">
        <f t="shared" si="8"/>
        <v>4214.8</v>
      </c>
      <c r="U43" s="65">
        <f t="shared" si="8"/>
        <v>2839.2</v>
      </c>
      <c r="V43" s="65">
        <f t="shared" si="8"/>
        <v>0</v>
      </c>
    </row>
    <row r="44" spans="1:29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4"/>
      <c r="K44" s="154"/>
      <c r="L44" s="154"/>
      <c r="M44" s="154"/>
      <c r="N44" s="152"/>
      <c r="O44" s="154"/>
      <c r="P44" s="154"/>
      <c r="Q44" s="154"/>
      <c r="R44" s="154"/>
      <c r="S44" s="178">
        <v>43160</v>
      </c>
      <c r="T44" s="154"/>
      <c r="U44" s="154"/>
      <c r="V44" s="152"/>
      <c r="W44" s="152"/>
      <c r="X44" s="152"/>
      <c r="Y44" s="152"/>
      <c r="Z44" s="152"/>
      <c r="AA44" s="154"/>
      <c r="AB44" s="154"/>
      <c r="AC44" s="154"/>
    </row>
    <row r="45" spans="1:29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72" t="s">
        <v>225</v>
      </c>
      <c r="T45" s="157"/>
      <c r="U45" s="157"/>
      <c r="V45" s="157"/>
      <c r="W45" s="157"/>
      <c r="X45" s="157"/>
      <c r="Y45" s="157"/>
      <c r="Z45" s="157"/>
      <c r="AA45" s="157"/>
      <c r="AB45" s="157"/>
      <c r="AC45" s="157"/>
    </row>
    <row r="46" spans="1:29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72">
        <v>14196</v>
      </c>
      <c r="T46" s="157"/>
      <c r="U46" s="157"/>
      <c r="V46" s="157"/>
      <c r="W46" s="157"/>
      <c r="X46" s="157"/>
      <c r="Y46" s="157"/>
      <c r="Z46" s="157"/>
      <c r="AA46" s="157"/>
      <c r="AB46" s="157"/>
      <c r="AC46" s="157"/>
    </row>
    <row r="47" spans="1:29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57"/>
      <c r="K47" s="157"/>
      <c r="L47" s="157"/>
      <c r="M47" s="157"/>
      <c r="N47" s="166"/>
      <c r="O47" s="157"/>
      <c r="P47" s="157"/>
      <c r="Q47" s="157"/>
      <c r="R47" s="157"/>
      <c r="S47" s="176">
        <v>43618</v>
      </c>
      <c r="T47" s="157"/>
      <c r="U47" s="157"/>
      <c r="V47" s="157"/>
      <c r="W47" s="157"/>
      <c r="X47" s="157"/>
      <c r="Y47" s="157"/>
      <c r="Z47" s="157"/>
      <c r="AA47" s="157"/>
      <c r="AB47" s="157"/>
      <c r="AC47" s="157"/>
    </row>
    <row r="48" spans="1:29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62" t="s">
        <v>166</v>
      </c>
      <c r="T48" s="157"/>
      <c r="U48" s="157"/>
      <c r="V48" s="157"/>
      <c r="W48" s="157"/>
      <c r="X48" s="157"/>
      <c r="Y48" s="157"/>
      <c r="Z48" s="157"/>
      <c r="AA48" s="157"/>
      <c r="AB48" s="157"/>
      <c r="AC48" s="157"/>
    </row>
    <row r="49" spans="1:29" x14ac:dyDescent="0.35">
      <c r="A49" s="225" t="s">
        <v>167</v>
      </c>
      <c r="B49" s="225"/>
      <c r="C49" s="225">
        <f>IFERROR(C46-C45,"")</f>
        <v>0</v>
      </c>
      <c r="D49" s="225">
        <f t="shared" ref="D49:V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  <c r="Q49" s="225">
        <f t="shared" si="9"/>
        <v>0</v>
      </c>
      <c r="R49" s="225">
        <f t="shared" si="9"/>
        <v>0</v>
      </c>
      <c r="S49" s="225" t="str">
        <f t="shared" si="9"/>
        <v/>
      </c>
      <c r="T49" s="225">
        <f t="shared" si="9"/>
        <v>0</v>
      </c>
      <c r="U49" s="225">
        <f t="shared" si="9"/>
        <v>0</v>
      </c>
      <c r="V49" s="225">
        <f t="shared" si="9"/>
        <v>0</v>
      </c>
    </row>
    <row r="50" spans="1:29" ht="16.399999999999999" customHeight="1" x14ac:dyDescent="0.35">
      <c r="A50" s="65" t="s">
        <v>2</v>
      </c>
      <c r="B50" s="65"/>
      <c r="C50" s="65">
        <f>AVERAGE(C42,C49,C35,C28,C21,C14)</f>
        <v>5178.333333333333</v>
      </c>
      <c r="D50" s="65">
        <f t="shared" ref="D50:V50" si="10">AVERAGE(D42,D49,D35,D28,D21,D14)</f>
        <v>5178.333333333333</v>
      </c>
      <c r="E50" s="65">
        <f t="shared" si="10"/>
        <v>0</v>
      </c>
      <c r="F50" s="65">
        <f t="shared" si="10"/>
        <v>2366</v>
      </c>
      <c r="G50" s="65">
        <f t="shared" si="10"/>
        <v>2366</v>
      </c>
      <c r="H50" s="65">
        <f t="shared" si="10"/>
        <v>2366</v>
      </c>
      <c r="I50" s="65">
        <f t="shared" si="10"/>
        <v>0</v>
      </c>
      <c r="J50" s="65">
        <f t="shared" si="10"/>
        <v>0</v>
      </c>
      <c r="K50" s="65">
        <f t="shared" si="10"/>
        <v>0</v>
      </c>
      <c r="L50" s="65">
        <f t="shared" si="10"/>
        <v>0</v>
      </c>
      <c r="M50" s="65">
        <f t="shared" si="10"/>
        <v>2220.8000000000002</v>
      </c>
      <c r="N50" s="65">
        <f t="shared" si="10"/>
        <v>5553</v>
      </c>
      <c r="O50" s="65">
        <f t="shared" si="10"/>
        <v>2366</v>
      </c>
      <c r="P50" s="65">
        <f t="shared" si="10"/>
        <v>2366</v>
      </c>
      <c r="Q50" s="65">
        <f t="shared" si="10"/>
        <v>2366</v>
      </c>
      <c r="R50" s="65">
        <f t="shared" si="10"/>
        <v>1237.8333333333333</v>
      </c>
      <c r="S50" s="65">
        <f t="shared" si="10"/>
        <v>3713.5</v>
      </c>
      <c r="T50" s="65">
        <f t="shared" si="10"/>
        <v>3512.3333333333335</v>
      </c>
      <c r="U50" s="65">
        <f t="shared" si="10"/>
        <v>2366</v>
      </c>
      <c r="V50" s="65">
        <f t="shared" si="10"/>
        <v>0</v>
      </c>
    </row>
    <row r="51" spans="1:29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4"/>
      <c r="K51" s="154"/>
      <c r="L51" s="154"/>
      <c r="M51" s="154"/>
      <c r="N51" s="152"/>
      <c r="O51" s="154"/>
      <c r="P51" s="154"/>
      <c r="Q51" s="154"/>
      <c r="R51" s="154"/>
      <c r="S51" s="176">
        <v>43618</v>
      </c>
      <c r="T51" s="154"/>
      <c r="U51" s="154"/>
      <c r="V51" s="152"/>
      <c r="W51" s="152"/>
      <c r="X51" s="152"/>
      <c r="Y51" s="152"/>
      <c r="Z51" s="152"/>
      <c r="AA51" s="154"/>
      <c r="AB51" s="154"/>
      <c r="AC51" s="154"/>
    </row>
    <row r="52" spans="1:29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72">
        <v>14196</v>
      </c>
      <c r="T52" s="157"/>
      <c r="U52" s="157"/>
      <c r="V52" s="157"/>
      <c r="W52" s="157"/>
      <c r="X52" s="157"/>
      <c r="Y52" s="157"/>
      <c r="Z52" s="157"/>
      <c r="AA52" s="157"/>
      <c r="AB52" s="157"/>
      <c r="AC52" s="157"/>
    </row>
    <row r="53" spans="1:29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73" t="s">
        <v>225</v>
      </c>
      <c r="T53" s="157"/>
      <c r="U53" s="157"/>
      <c r="V53" s="157"/>
      <c r="W53" s="157"/>
      <c r="X53" s="157"/>
      <c r="Y53" s="157"/>
      <c r="Z53" s="157"/>
      <c r="AA53" s="157"/>
      <c r="AB53" s="157"/>
      <c r="AC53" s="157"/>
    </row>
    <row r="54" spans="1:29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57"/>
      <c r="K54" s="157"/>
      <c r="L54" s="157"/>
      <c r="M54" s="157"/>
      <c r="N54" s="166"/>
      <c r="O54" s="157"/>
      <c r="P54" s="157"/>
      <c r="Q54" s="157"/>
      <c r="R54" s="157"/>
      <c r="S54" s="178">
        <v>43770</v>
      </c>
      <c r="T54" s="157"/>
      <c r="U54" s="157"/>
      <c r="V54" s="157"/>
      <c r="W54" s="157"/>
      <c r="X54" s="157"/>
      <c r="Y54" s="157"/>
      <c r="Z54" s="157"/>
      <c r="AA54" s="157"/>
      <c r="AB54" s="157"/>
      <c r="AC54" s="157"/>
    </row>
    <row r="55" spans="1:29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62" t="s">
        <v>166</v>
      </c>
      <c r="T55" s="157"/>
      <c r="U55" s="157"/>
      <c r="V55" s="157"/>
      <c r="W55" s="157"/>
      <c r="X55" s="157"/>
      <c r="Y55" s="157"/>
      <c r="Z55" s="157"/>
      <c r="AA55" s="157"/>
      <c r="AB55" s="157"/>
      <c r="AC55" s="157"/>
    </row>
    <row r="56" spans="1:29" x14ac:dyDescent="0.35">
      <c r="A56" s="225" t="s">
        <v>167</v>
      </c>
      <c r="B56" s="225"/>
      <c r="C56" s="225">
        <f>IFERROR(C53-C52,"")</f>
        <v>0</v>
      </c>
      <c r="D56" s="225">
        <f t="shared" ref="D56:V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0</v>
      </c>
      <c r="P56" s="225">
        <f t="shared" si="11"/>
        <v>0</v>
      </c>
      <c r="Q56" s="225">
        <f t="shared" si="11"/>
        <v>0</v>
      </c>
      <c r="R56" s="225">
        <f t="shared" si="11"/>
        <v>0</v>
      </c>
      <c r="S56" s="225" t="str">
        <f t="shared" si="11"/>
        <v/>
      </c>
      <c r="T56" s="225">
        <f t="shared" si="11"/>
        <v>0</v>
      </c>
      <c r="U56" s="225">
        <f t="shared" si="11"/>
        <v>0</v>
      </c>
      <c r="V56" s="225">
        <f t="shared" si="11"/>
        <v>0</v>
      </c>
    </row>
    <row r="57" spans="1:29" ht="16.399999999999999" customHeight="1" x14ac:dyDescent="0.35">
      <c r="A57" s="65" t="s">
        <v>2</v>
      </c>
      <c r="B57" s="65"/>
      <c r="C57" s="65">
        <f>AVERAGE(C49,C56,C42,C35,C28,C21,C14)</f>
        <v>4438.5714285714284</v>
      </c>
      <c r="D57" s="65">
        <f t="shared" ref="D57:V57" si="12">AVERAGE(D49,D56,D42,D35,D28,D21,D14)</f>
        <v>4438.5714285714284</v>
      </c>
      <c r="E57" s="65">
        <f t="shared" si="12"/>
        <v>0</v>
      </c>
      <c r="F57" s="65">
        <f t="shared" si="12"/>
        <v>2028</v>
      </c>
      <c r="G57" s="65">
        <f t="shared" si="12"/>
        <v>2028</v>
      </c>
      <c r="H57" s="65">
        <f t="shared" si="12"/>
        <v>2028</v>
      </c>
      <c r="I57" s="65">
        <f t="shared" si="12"/>
        <v>0</v>
      </c>
      <c r="J57" s="65">
        <f t="shared" si="12"/>
        <v>0</v>
      </c>
      <c r="K57" s="65">
        <f t="shared" si="12"/>
        <v>0</v>
      </c>
      <c r="L57" s="65">
        <f t="shared" si="12"/>
        <v>0</v>
      </c>
      <c r="M57" s="65">
        <f t="shared" si="12"/>
        <v>1850.6666666666667</v>
      </c>
      <c r="N57" s="65">
        <f t="shared" si="12"/>
        <v>4759.7142857142853</v>
      </c>
      <c r="O57" s="65">
        <f t="shared" si="12"/>
        <v>2028</v>
      </c>
      <c r="P57" s="65">
        <f t="shared" si="12"/>
        <v>2028</v>
      </c>
      <c r="Q57" s="65">
        <f t="shared" si="12"/>
        <v>2028</v>
      </c>
      <c r="R57" s="65">
        <f t="shared" si="12"/>
        <v>1061</v>
      </c>
      <c r="S57" s="65">
        <f t="shared" si="12"/>
        <v>3713.5</v>
      </c>
      <c r="T57" s="65">
        <f t="shared" si="12"/>
        <v>3010.5714285714284</v>
      </c>
      <c r="U57" s="65">
        <f t="shared" si="12"/>
        <v>2028</v>
      </c>
      <c r="V57" s="65">
        <f t="shared" si="12"/>
        <v>0</v>
      </c>
    </row>
    <row r="58" spans="1:29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2"/>
      <c r="O58" s="154"/>
      <c r="P58" s="154"/>
      <c r="Q58" s="154"/>
      <c r="R58" s="154"/>
      <c r="S58" s="152">
        <v>43770</v>
      </c>
      <c r="T58" s="154"/>
      <c r="U58" s="154"/>
      <c r="V58" s="152"/>
      <c r="W58" s="152"/>
      <c r="X58" s="152"/>
      <c r="Y58" s="152"/>
      <c r="Z58" s="152"/>
      <c r="AA58" s="154"/>
      <c r="AB58" s="154"/>
      <c r="AC58" s="154"/>
    </row>
    <row r="59" spans="1:29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 t="s">
        <v>225</v>
      </c>
      <c r="T59" s="157"/>
      <c r="U59" s="157"/>
      <c r="V59" s="157"/>
      <c r="W59" s="157"/>
      <c r="X59" s="157"/>
      <c r="Y59" s="157"/>
      <c r="Z59" s="157"/>
      <c r="AA59" s="157"/>
      <c r="AB59" s="157"/>
      <c r="AC59" s="157"/>
    </row>
    <row r="60" spans="1:29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>
        <v>21074</v>
      </c>
      <c r="T60" s="157"/>
      <c r="U60" s="157"/>
      <c r="V60" s="157"/>
      <c r="W60" s="157"/>
      <c r="X60" s="157"/>
      <c r="Y60" s="157"/>
      <c r="Z60" s="157"/>
      <c r="AA60" s="157"/>
      <c r="AB60" s="157"/>
      <c r="AC60" s="157"/>
    </row>
    <row r="61" spans="1:29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66"/>
      <c r="O61" s="157"/>
      <c r="P61" s="157"/>
      <c r="Q61" s="157"/>
      <c r="R61" s="157"/>
      <c r="S61" s="157" t="s">
        <v>457</v>
      </c>
      <c r="T61" s="157"/>
      <c r="U61" s="157"/>
      <c r="V61" s="157"/>
      <c r="W61" s="157"/>
      <c r="X61" s="157"/>
      <c r="Y61" s="157"/>
      <c r="Z61" s="157"/>
      <c r="AA61" s="157"/>
      <c r="AB61" s="157"/>
      <c r="AC61" s="157"/>
    </row>
    <row r="62" spans="1:29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 t="s">
        <v>267</v>
      </c>
      <c r="T62" s="157"/>
      <c r="U62" s="157"/>
      <c r="V62" s="157"/>
      <c r="W62" s="157"/>
      <c r="X62" s="157"/>
      <c r="Y62" s="157"/>
      <c r="Z62" s="157"/>
      <c r="AA62" s="157"/>
      <c r="AB62" s="157"/>
      <c r="AC62" s="157"/>
    </row>
    <row r="63" spans="1:29" x14ac:dyDescent="0.35">
      <c r="A63" s="225" t="s">
        <v>167</v>
      </c>
      <c r="B63" s="225"/>
      <c r="C63" s="225">
        <f>IFERROR(C60-C59,"")</f>
        <v>0</v>
      </c>
      <c r="D63" s="225">
        <f t="shared" ref="D63:V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 t="str">
        <f t="shared" si="13"/>
        <v/>
      </c>
      <c r="T63" s="225">
        <f t="shared" si="13"/>
        <v>0</v>
      </c>
      <c r="U63" s="225">
        <f t="shared" si="13"/>
        <v>0</v>
      </c>
      <c r="V63" s="225">
        <f t="shared" si="13"/>
        <v>0</v>
      </c>
    </row>
    <row r="64" spans="1:29" ht="16.399999999999999" customHeight="1" x14ac:dyDescent="0.35">
      <c r="A64" s="65" t="s">
        <v>2</v>
      </c>
      <c r="B64" s="65"/>
      <c r="C64" s="65">
        <f>AVERAGE(C56,C63,C49,C42,C35,C28,C21,C14)</f>
        <v>3883.75</v>
      </c>
      <c r="D64" s="65">
        <f t="shared" ref="D64:V64" si="14">AVERAGE(D56,D63,D49,D42,D35,D28,D21,D14)</f>
        <v>3883.75</v>
      </c>
      <c r="E64" s="65">
        <f t="shared" si="14"/>
        <v>0</v>
      </c>
      <c r="F64" s="65">
        <f t="shared" si="14"/>
        <v>1774.5</v>
      </c>
      <c r="G64" s="65">
        <f t="shared" si="14"/>
        <v>1774.5</v>
      </c>
      <c r="H64" s="65">
        <f t="shared" si="14"/>
        <v>1774.5</v>
      </c>
      <c r="I64" s="65">
        <f t="shared" si="14"/>
        <v>0</v>
      </c>
      <c r="J64" s="65">
        <f t="shared" si="14"/>
        <v>0</v>
      </c>
      <c r="K64" s="65">
        <f t="shared" si="14"/>
        <v>0</v>
      </c>
      <c r="L64" s="65">
        <f t="shared" si="14"/>
        <v>0</v>
      </c>
      <c r="M64" s="65">
        <f t="shared" si="14"/>
        <v>1586.2857142857142</v>
      </c>
      <c r="N64" s="65">
        <f t="shared" si="14"/>
        <v>4164.75</v>
      </c>
      <c r="O64" s="65">
        <f t="shared" si="14"/>
        <v>1774.5</v>
      </c>
      <c r="P64" s="65">
        <f t="shared" si="14"/>
        <v>1774.5</v>
      </c>
      <c r="Q64" s="65">
        <f t="shared" si="14"/>
        <v>1774.5</v>
      </c>
      <c r="R64" s="65">
        <f t="shared" si="14"/>
        <v>928.375</v>
      </c>
      <c r="S64" s="65">
        <f t="shared" si="14"/>
        <v>3713.5</v>
      </c>
      <c r="T64" s="65">
        <f t="shared" si="14"/>
        <v>2634.25</v>
      </c>
      <c r="U64" s="65">
        <f t="shared" si="14"/>
        <v>1774.5</v>
      </c>
      <c r="V64" s="65">
        <f t="shared" si="14"/>
        <v>0</v>
      </c>
    </row>
  </sheetData>
  <sheetProtection algorithmName="SHA-512" hashValue="MSDTtNbXhTtLnDUzLP0nq/2uRj1LXv/2ISgsdWV7Y2TFoVGEjGx4Vihu35GnEcFMEXiySm5MV/P0aw4eorKS7w==" saltValue="ax28S2a7EZCD5o3VdOVnDg==" spinCount="100000" sheet="1" objects="1" scenarios="1"/>
  <autoFilter ref="A2:AC64" xr:uid="{00000000-0009-0000-0000-000015000000}"/>
  <mergeCells count="2">
    <mergeCell ref="A7:B7"/>
    <mergeCell ref="A8:B8"/>
  </mergeCells>
  <conditionalFormatting sqref="C15 F15:V15">
    <cfRule type="expression" dxfId="671" priority="59">
      <formula>C15&lt;#REF!</formula>
    </cfRule>
    <cfRule type="expression" dxfId="670" priority="60">
      <formula>C15&gt;#REF!</formula>
    </cfRule>
  </conditionalFormatting>
  <conditionalFormatting sqref="D15">
    <cfRule type="expression" dxfId="669" priority="557">
      <formula>D15&lt;#REF!</formula>
    </cfRule>
    <cfRule type="expression" dxfId="668" priority="558">
      <formula>D15&gt;#REF!</formula>
    </cfRule>
  </conditionalFormatting>
  <conditionalFormatting sqref="E15">
    <cfRule type="expression" dxfId="667" priority="559" stopIfTrue="1">
      <formula>E15&lt;#REF!</formula>
    </cfRule>
    <cfRule type="expression" dxfId="666" priority="560" stopIfTrue="1">
      <formula>E15&gt;#REF!</formula>
    </cfRule>
  </conditionalFormatting>
  <conditionalFormatting sqref="C22:V22">
    <cfRule type="expression" dxfId="665" priority="49">
      <formula>C22&lt;#REF!</formula>
    </cfRule>
    <cfRule type="expression" dxfId="664" priority="50">
      <formula>C22&gt;#REF!</formula>
    </cfRule>
  </conditionalFormatting>
  <conditionalFormatting sqref="D22">
    <cfRule type="expression" dxfId="663" priority="51">
      <formula>D22&lt;#REF!</formula>
    </cfRule>
    <cfRule type="expression" dxfId="662" priority="52">
      <formula>D22&gt;#REF!</formula>
    </cfRule>
  </conditionalFormatting>
  <conditionalFormatting sqref="E22">
    <cfRule type="expression" dxfId="661" priority="53" stopIfTrue="1">
      <formula>E22&lt;#REF!</formula>
    </cfRule>
    <cfRule type="expression" dxfId="660" priority="54" stopIfTrue="1">
      <formula>E22&gt;#REF!</formula>
    </cfRule>
  </conditionalFormatting>
  <conditionalFormatting sqref="F29:V29">
    <cfRule type="expression" dxfId="659" priority="43">
      <formula>F29&lt;#REF!</formula>
    </cfRule>
    <cfRule type="expression" dxfId="658" priority="44">
      <formula>F29&gt;#REF!</formula>
    </cfRule>
  </conditionalFormatting>
  <conditionalFormatting sqref="D29">
    <cfRule type="expression" dxfId="657" priority="45">
      <formula>D29&lt;#REF!</formula>
    </cfRule>
    <cfRule type="expression" dxfId="656" priority="46">
      <formula>D29&gt;#REF!</formula>
    </cfRule>
  </conditionalFormatting>
  <conditionalFormatting sqref="E29">
    <cfRule type="expression" dxfId="655" priority="47" stopIfTrue="1">
      <formula>E29&lt;#REF!</formula>
    </cfRule>
    <cfRule type="expression" dxfId="654" priority="48" stopIfTrue="1">
      <formula>E29&gt;#REF!</formula>
    </cfRule>
  </conditionalFormatting>
  <conditionalFormatting sqref="F36:V36">
    <cfRule type="expression" dxfId="653" priority="37">
      <formula>F36&lt;#REF!</formula>
    </cfRule>
    <cfRule type="expression" dxfId="652" priority="38">
      <formula>F36&gt;#REF!</formula>
    </cfRule>
  </conditionalFormatting>
  <conditionalFormatting sqref="D36">
    <cfRule type="expression" dxfId="651" priority="39">
      <formula>D36&lt;#REF!</formula>
    </cfRule>
    <cfRule type="expression" dxfId="650" priority="40">
      <formula>D36&gt;#REF!</formula>
    </cfRule>
  </conditionalFormatting>
  <conditionalFormatting sqref="E36">
    <cfRule type="expression" dxfId="649" priority="41" stopIfTrue="1">
      <formula>E36&lt;#REF!</formula>
    </cfRule>
    <cfRule type="expression" dxfId="648" priority="42" stopIfTrue="1">
      <formula>E36&gt;#REF!</formula>
    </cfRule>
  </conditionalFormatting>
  <conditionalFormatting sqref="F43:V43">
    <cfRule type="expression" dxfId="647" priority="31">
      <formula>F43&lt;#REF!</formula>
    </cfRule>
    <cfRule type="expression" dxfId="646" priority="32">
      <formula>F43&gt;#REF!</formula>
    </cfRule>
  </conditionalFormatting>
  <conditionalFormatting sqref="D43">
    <cfRule type="expression" dxfId="645" priority="33">
      <formula>D43&lt;#REF!</formula>
    </cfRule>
    <cfRule type="expression" dxfId="644" priority="34">
      <formula>D43&gt;#REF!</formula>
    </cfRule>
  </conditionalFormatting>
  <conditionalFormatting sqref="E43">
    <cfRule type="expression" dxfId="643" priority="35" stopIfTrue="1">
      <formula>E43&lt;#REF!</formula>
    </cfRule>
    <cfRule type="expression" dxfId="642" priority="36" stopIfTrue="1">
      <formula>E43&gt;#REF!</formula>
    </cfRule>
  </conditionalFormatting>
  <conditionalFormatting sqref="F50:V50">
    <cfRule type="expression" dxfId="641" priority="25">
      <formula>F50&lt;#REF!</formula>
    </cfRule>
    <cfRule type="expression" dxfId="640" priority="26">
      <formula>F50&gt;#REF!</formula>
    </cfRule>
  </conditionalFormatting>
  <conditionalFormatting sqref="D50">
    <cfRule type="expression" dxfId="639" priority="27">
      <formula>D50&lt;#REF!</formula>
    </cfRule>
    <cfRule type="expression" dxfId="638" priority="28">
      <formula>D50&gt;#REF!</formula>
    </cfRule>
  </conditionalFormatting>
  <conditionalFormatting sqref="E50">
    <cfRule type="expression" dxfId="637" priority="29" stopIfTrue="1">
      <formula>E50&lt;#REF!</formula>
    </cfRule>
    <cfRule type="expression" dxfId="636" priority="30" stopIfTrue="1">
      <formula>E50&gt;#REF!</formula>
    </cfRule>
  </conditionalFormatting>
  <conditionalFormatting sqref="F57:V57">
    <cfRule type="expression" dxfId="635" priority="19">
      <formula>F57&lt;#REF!</formula>
    </cfRule>
    <cfRule type="expression" dxfId="634" priority="20">
      <formula>F57&gt;#REF!</formula>
    </cfRule>
  </conditionalFormatting>
  <conditionalFormatting sqref="D57">
    <cfRule type="expression" dxfId="633" priority="21">
      <formula>D57&lt;#REF!</formula>
    </cfRule>
    <cfRule type="expression" dxfId="632" priority="22">
      <formula>D57&gt;#REF!</formula>
    </cfRule>
  </conditionalFormatting>
  <conditionalFormatting sqref="E57">
    <cfRule type="expression" dxfId="631" priority="23" stopIfTrue="1">
      <formula>E57&lt;#REF!</formula>
    </cfRule>
    <cfRule type="expression" dxfId="630" priority="24" stopIfTrue="1">
      <formula>E57&gt;#REF!</formula>
    </cfRule>
  </conditionalFormatting>
  <conditionalFormatting sqref="F64:V64">
    <cfRule type="expression" dxfId="629" priority="13">
      <formula>F64&lt;#REF!</formula>
    </cfRule>
    <cfRule type="expression" dxfId="628" priority="14">
      <formula>F64&gt;#REF!</formula>
    </cfRule>
  </conditionalFormatting>
  <conditionalFormatting sqref="D64">
    <cfRule type="expression" dxfId="627" priority="15">
      <formula>D64&lt;#REF!</formula>
    </cfRule>
    <cfRule type="expression" dxfId="626" priority="16">
      <formula>D64&gt;#REF!</formula>
    </cfRule>
  </conditionalFormatting>
  <conditionalFormatting sqref="E64">
    <cfRule type="expression" dxfId="625" priority="17" stopIfTrue="1">
      <formula>E64&lt;#REF!</formula>
    </cfRule>
    <cfRule type="expression" dxfId="624" priority="18" stopIfTrue="1">
      <formula>E64&gt;#REF!</formula>
    </cfRule>
  </conditionalFormatting>
  <conditionalFormatting sqref="C29:V29">
    <cfRule type="expression" dxfId="623" priority="11">
      <formula>C29&lt;#REF!</formula>
    </cfRule>
    <cfRule type="expression" dxfId="622" priority="12">
      <formula>C29&gt;#REF!</formula>
    </cfRule>
  </conditionalFormatting>
  <conditionalFormatting sqref="C36:V36">
    <cfRule type="expression" dxfId="621" priority="9">
      <formula>C36&lt;#REF!</formula>
    </cfRule>
    <cfRule type="expression" dxfId="620" priority="10">
      <formula>C36&gt;#REF!</formula>
    </cfRule>
  </conditionalFormatting>
  <conditionalFormatting sqref="C43:V43">
    <cfRule type="expression" dxfId="619" priority="7">
      <formula>C43&lt;#REF!</formula>
    </cfRule>
    <cfRule type="expression" dxfId="618" priority="8">
      <formula>C43&gt;#REF!</formula>
    </cfRule>
  </conditionalFormatting>
  <conditionalFormatting sqref="C50:V50">
    <cfRule type="expression" dxfId="617" priority="5">
      <formula>C50&lt;#REF!</formula>
    </cfRule>
    <cfRule type="expression" dxfId="616" priority="6">
      <formula>C50&gt;#REF!</formula>
    </cfRule>
  </conditionalFormatting>
  <conditionalFormatting sqref="C64:V64">
    <cfRule type="expression" dxfId="615" priority="1">
      <formula>C64&lt;#REF!</formula>
    </cfRule>
    <cfRule type="expression" dxfId="614" priority="2">
      <formula>C64&gt;#REF!</formula>
    </cfRule>
  </conditionalFormatting>
  <conditionalFormatting sqref="C57:V57">
    <cfRule type="expression" dxfId="613" priority="3">
      <formula>C57&lt;#REF!</formula>
    </cfRule>
    <cfRule type="expression" dxfId="612" priority="4">
      <formula>C57&gt;#REF!</formula>
    </cfRule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6"/>
  <dimension ref="A1:W64"/>
  <sheetViews>
    <sheetView workbookViewId="0">
      <selection activeCell="A5" sqref="A5"/>
    </sheetView>
  </sheetViews>
  <sheetFormatPr defaultColWidth="8.81640625" defaultRowHeight="14.5" x14ac:dyDescent="0.35"/>
  <cols>
    <col min="1" max="1" width="16.1796875" customWidth="1"/>
    <col min="2" max="2" width="5.81640625" customWidth="1"/>
    <col min="3" max="5" width="21.54296875" bestFit="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20" width="17.1796875" bestFit="1" customWidth="1"/>
    <col min="21" max="21" width="15.1796875" bestFit="1" customWidth="1"/>
    <col min="22" max="22" width="17.1796875" bestFit="1" customWidth="1"/>
  </cols>
  <sheetData>
    <row r="1" spans="1:23" ht="15" thickBot="1" x14ac:dyDescent="0.4"/>
    <row r="2" spans="1:23" x14ac:dyDescent="0.35">
      <c r="E2" s="130" t="s">
        <v>195</v>
      </c>
      <c r="F2" s="131"/>
      <c r="G2" s="131" t="s">
        <v>104</v>
      </c>
      <c r="H2" s="131"/>
      <c r="I2" s="132"/>
    </row>
    <row r="3" spans="1:23" x14ac:dyDescent="0.35">
      <c r="E3" s="133"/>
      <c r="F3" s="134" t="s">
        <v>106</v>
      </c>
      <c r="G3" s="135" t="s">
        <v>275</v>
      </c>
      <c r="H3" s="134"/>
      <c r="I3" s="136"/>
    </row>
    <row r="4" spans="1:23" ht="15" thickBot="1" x14ac:dyDescent="0.4">
      <c r="A4" t="s">
        <v>168</v>
      </c>
      <c r="B4" t="s">
        <v>169</v>
      </c>
      <c r="E4" s="137"/>
      <c r="F4" s="138" t="s">
        <v>276</v>
      </c>
      <c r="G4" s="139"/>
      <c r="H4" s="138" t="s">
        <v>112</v>
      </c>
      <c r="I4" s="140"/>
    </row>
    <row r="5" spans="1:23" ht="24" customHeight="1" x14ac:dyDescent="0.45">
      <c r="A5" s="179" t="s">
        <v>458</v>
      </c>
      <c r="B5" t="s">
        <v>278</v>
      </c>
    </row>
    <row r="6" spans="1:23" ht="28.4" customHeight="1" x14ac:dyDescent="0.35">
      <c r="A6" s="142" t="s">
        <v>200</v>
      </c>
      <c r="B6" s="169"/>
      <c r="C6" s="142" t="s">
        <v>57</v>
      </c>
      <c r="D6" s="142" t="s">
        <v>78</v>
      </c>
      <c r="E6" s="142" t="s">
        <v>58</v>
      </c>
      <c r="F6" s="142" t="s">
        <v>79</v>
      </c>
      <c r="G6" s="143" t="s">
        <v>80</v>
      </c>
      <c r="H6" s="143" t="s">
        <v>81</v>
      </c>
      <c r="I6" s="143" t="s">
        <v>59</v>
      </c>
      <c r="J6" s="142" t="s">
        <v>82</v>
      </c>
      <c r="K6" s="142" t="s">
        <v>75</v>
      </c>
      <c r="L6" s="142" t="s">
        <v>83</v>
      </c>
      <c r="M6" s="142" t="s">
        <v>60</v>
      </c>
      <c r="N6" s="142" t="s">
        <v>61</v>
      </c>
      <c r="O6" s="142" t="s">
        <v>62</v>
      </c>
      <c r="P6" s="144" t="s">
        <v>63</v>
      </c>
      <c r="Q6" s="142" t="s">
        <v>84</v>
      </c>
      <c r="R6" s="142" t="s">
        <v>85</v>
      </c>
      <c r="S6" s="142" t="s">
        <v>86</v>
      </c>
      <c r="T6" s="142" t="s">
        <v>87</v>
      </c>
      <c r="U6" s="142" t="s">
        <v>65</v>
      </c>
      <c r="V6" s="142" t="s">
        <v>35</v>
      </c>
      <c r="W6" s="142"/>
    </row>
    <row r="7" spans="1:23" x14ac:dyDescent="0.35">
      <c r="A7" s="252" t="s">
        <v>137</v>
      </c>
      <c r="B7" s="252"/>
      <c r="C7" s="145" t="s">
        <v>140</v>
      </c>
      <c r="D7" s="145" t="s">
        <v>141</v>
      </c>
      <c r="E7" s="146" t="s">
        <v>138</v>
      </c>
      <c r="F7" s="145" t="s">
        <v>215</v>
      </c>
      <c r="G7" s="145" t="s">
        <v>142</v>
      </c>
      <c r="H7" s="145" t="s">
        <v>143</v>
      </c>
      <c r="I7" s="145" t="s">
        <v>144</v>
      </c>
      <c r="J7" s="145" t="s">
        <v>145</v>
      </c>
      <c r="K7" s="145" t="s">
        <v>146</v>
      </c>
      <c r="L7" s="145" t="s">
        <v>147</v>
      </c>
      <c r="M7" s="145" t="s">
        <v>148</v>
      </c>
      <c r="N7" s="145" t="s">
        <v>149</v>
      </c>
      <c r="O7" s="145" t="s">
        <v>150</v>
      </c>
      <c r="P7" s="145" t="s">
        <v>151</v>
      </c>
      <c r="Q7" s="145" t="s">
        <v>152</v>
      </c>
      <c r="R7" s="145" t="s">
        <v>153</v>
      </c>
      <c r="S7" s="145" t="s">
        <v>154</v>
      </c>
      <c r="T7" s="145" t="s">
        <v>155</v>
      </c>
      <c r="U7" s="145" t="s">
        <v>157</v>
      </c>
      <c r="V7" s="145" t="s">
        <v>279</v>
      </c>
    </row>
    <row r="8" spans="1:23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2</v>
      </c>
      <c r="K8" s="147">
        <v>1</v>
      </c>
      <c r="L8" s="147">
        <v>2</v>
      </c>
      <c r="M8" s="147">
        <v>1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4</v>
      </c>
      <c r="U8" s="147">
        <v>1</v>
      </c>
      <c r="V8" s="147">
        <v>1</v>
      </c>
    </row>
    <row r="9" spans="1:23" x14ac:dyDescent="0.35">
      <c r="A9" s="150" t="s">
        <v>159</v>
      </c>
      <c r="B9" s="151"/>
      <c r="C9" s="173" t="s">
        <v>225</v>
      </c>
      <c r="D9" s="152"/>
      <c r="E9" s="152"/>
      <c r="F9" s="152"/>
      <c r="G9" s="152"/>
      <c r="H9" s="152"/>
      <c r="I9" s="152"/>
      <c r="J9" s="152"/>
      <c r="K9" s="154"/>
      <c r="L9" s="152"/>
      <c r="M9" s="152"/>
      <c r="N9" s="152"/>
      <c r="O9" s="173" t="s">
        <v>225</v>
      </c>
      <c r="P9" s="173" t="s">
        <v>225</v>
      </c>
      <c r="Q9" s="154"/>
      <c r="R9" s="152"/>
      <c r="S9" s="152"/>
      <c r="T9" s="152"/>
      <c r="U9" s="152"/>
      <c r="V9" s="173" t="s">
        <v>225</v>
      </c>
    </row>
    <row r="10" spans="1:23" x14ac:dyDescent="0.35">
      <c r="A10" s="155" t="s">
        <v>161</v>
      </c>
      <c r="B10" s="156" t="s">
        <v>162</v>
      </c>
      <c r="C10" s="172">
        <v>0</v>
      </c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72">
        <v>0</v>
      </c>
      <c r="P10" s="172">
        <v>0</v>
      </c>
      <c r="Q10" s="157"/>
      <c r="R10" s="157"/>
      <c r="S10" s="157"/>
      <c r="T10" s="157"/>
      <c r="U10" s="157"/>
      <c r="V10" s="172">
        <v>0</v>
      </c>
    </row>
    <row r="11" spans="1:23" x14ac:dyDescent="0.35">
      <c r="A11" s="155" t="s">
        <v>161</v>
      </c>
      <c r="B11" s="156" t="s">
        <v>163</v>
      </c>
      <c r="C11" s="172">
        <v>18695</v>
      </c>
      <c r="D11" s="157"/>
      <c r="E11" s="157"/>
      <c r="F11" s="157"/>
      <c r="G11" s="157"/>
      <c r="H11" s="157"/>
      <c r="I11" s="157"/>
      <c r="J11" s="157"/>
      <c r="K11" s="157"/>
      <c r="L11" s="157"/>
      <c r="M11" s="157"/>
      <c r="N11" s="157"/>
      <c r="O11" s="172">
        <v>4354</v>
      </c>
      <c r="P11" s="172">
        <v>4354</v>
      </c>
      <c r="Q11" s="157"/>
      <c r="R11" s="157"/>
      <c r="S11" s="157"/>
      <c r="T11" s="157"/>
      <c r="U11" s="157"/>
      <c r="V11" s="172">
        <v>18695</v>
      </c>
    </row>
    <row r="12" spans="1:23" x14ac:dyDescent="0.35">
      <c r="A12" s="155" t="s">
        <v>164</v>
      </c>
      <c r="B12" s="156"/>
      <c r="C12" s="176">
        <v>43510</v>
      </c>
      <c r="D12" s="157"/>
      <c r="E12" s="157"/>
      <c r="F12" s="157"/>
      <c r="G12" s="157"/>
      <c r="H12" s="157"/>
      <c r="I12" s="157"/>
      <c r="J12" s="166"/>
      <c r="K12" s="157"/>
      <c r="L12" s="157"/>
      <c r="M12" s="157"/>
      <c r="N12" s="157"/>
      <c r="O12" s="178">
        <v>42861</v>
      </c>
      <c r="P12" s="176">
        <v>42861</v>
      </c>
      <c r="Q12" s="157"/>
      <c r="R12" s="157"/>
      <c r="S12" s="157"/>
      <c r="T12" s="157"/>
      <c r="U12" s="157"/>
      <c r="V12" s="178">
        <v>43510</v>
      </c>
    </row>
    <row r="13" spans="1:23" ht="29" x14ac:dyDescent="0.35">
      <c r="A13" s="160" t="s">
        <v>165</v>
      </c>
      <c r="B13" s="161"/>
      <c r="C13" s="162" t="s">
        <v>166</v>
      </c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62" t="s">
        <v>166</v>
      </c>
      <c r="P13" s="162" t="s">
        <v>166</v>
      </c>
      <c r="Q13" s="157"/>
      <c r="R13" s="157"/>
      <c r="S13" s="157"/>
      <c r="T13" s="157"/>
      <c r="U13" s="157"/>
      <c r="V13" s="162" t="s">
        <v>166</v>
      </c>
    </row>
    <row r="14" spans="1:23" x14ac:dyDescent="0.35">
      <c r="A14" s="225" t="s">
        <v>167</v>
      </c>
      <c r="B14" s="225"/>
      <c r="C14" s="225">
        <f>IFERROR(C11-C10,"")</f>
        <v>18695</v>
      </c>
      <c r="D14" s="225">
        <f t="shared" ref="D14:W14" si="0">IFERROR(D11-D10,"")</f>
        <v>0</v>
      </c>
      <c r="E14" s="225">
        <f t="shared" si="0"/>
        <v>0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0</v>
      </c>
      <c r="J14" s="225">
        <f t="shared" si="0"/>
        <v>0</v>
      </c>
      <c r="K14" s="225">
        <f t="shared" si="0"/>
        <v>0</v>
      </c>
      <c r="L14" s="225">
        <f t="shared" si="0"/>
        <v>0</v>
      </c>
      <c r="M14" s="225">
        <f t="shared" si="0"/>
        <v>0</v>
      </c>
      <c r="N14" s="225">
        <f t="shared" si="0"/>
        <v>0</v>
      </c>
      <c r="O14" s="225">
        <f t="shared" si="0"/>
        <v>4354</v>
      </c>
      <c r="P14" s="225">
        <f t="shared" si="0"/>
        <v>4354</v>
      </c>
      <c r="Q14" s="225">
        <f t="shared" si="0"/>
        <v>0</v>
      </c>
      <c r="R14" s="225">
        <f t="shared" si="0"/>
        <v>0</v>
      </c>
      <c r="S14" s="225">
        <f t="shared" si="0"/>
        <v>0</v>
      </c>
      <c r="T14" s="225">
        <f t="shared" si="0"/>
        <v>0</v>
      </c>
      <c r="U14" s="225">
        <f t="shared" si="0"/>
        <v>0</v>
      </c>
      <c r="V14" s="225">
        <f t="shared" si="0"/>
        <v>18695</v>
      </c>
      <c r="W14" s="225">
        <f t="shared" si="0"/>
        <v>0</v>
      </c>
    </row>
    <row r="15" spans="1:23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</row>
    <row r="16" spans="1:23" x14ac:dyDescent="0.35">
      <c r="A16" s="150" t="s">
        <v>159</v>
      </c>
      <c r="B16" s="151"/>
      <c r="C16" s="163"/>
      <c r="D16" s="154"/>
      <c r="E16" s="154"/>
      <c r="F16" s="154"/>
      <c r="G16" s="154"/>
      <c r="H16" s="154"/>
      <c r="I16" s="154"/>
      <c r="J16" s="152"/>
      <c r="K16" s="154"/>
      <c r="L16" s="154"/>
      <c r="M16" s="154"/>
      <c r="N16" s="152"/>
      <c r="O16" s="178">
        <v>42861</v>
      </c>
      <c r="P16" s="176">
        <v>42861</v>
      </c>
      <c r="Q16" s="154"/>
      <c r="R16" s="154"/>
      <c r="S16" s="154"/>
      <c r="T16" s="154"/>
      <c r="U16" s="154"/>
      <c r="V16" s="154"/>
    </row>
    <row r="17" spans="1:23" x14ac:dyDescent="0.35">
      <c r="A17" s="155" t="s">
        <v>161</v>
      </c>
      <c r="B17" s="156" t="s">
        <v>162</v>
      </c>
      <c r="C17" s="165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72">
        <v>4354</v>
      </c>
      <c r="P17" s="172">
        <v>4354</v>
      </c>
      <c r="Q17" s="157"/>
      <c r="R17" s="157"/>
      <c r="S17" s="157"/>
      <c r="T17" s="157"/>
      <c r="U17" s="157"/>
      <c r="V17" s="157"/>
    </row>
    <row r="18" spans="1:23" x14ac:dyDescent="0.35">
      <c r="A18" s="155" t="s">
        <v>161</v>
      </c>
      <c r="B18" s="156" t="s">
        <v>163</v>
      </c>
      <c r="C18" s="165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72">
        <v>7361</v>
      </c>
      <c r="P18" s="172">
        <v>18695</v>
      </c>
      <c r="Q18" s="157"/>
      <c r="R18" s="157"/>
      <c r="S18" s="157"/>
      <c r="T18" s="157"/>
      <c r="U18" s="157"/>
      <c r="V18" s="157"/>
    </row>
    <row r="19" spans="1:23" x14ac:dyDescent="0.35">
      <c r="A19" s="155" t="s">
        <v>164</v>
      </c>
      <c r="B19" s="156"/>
      <c r="C19" s="165"/>
      <c r="D19" s="157"/>
      <c r="E19" s="157"/>
      <c r="F19" s="157"/>
      <c r="G19" s="157"/>
      <c r="H19" s="157"/>
      <c r="I19" s="157"/>
      <c r="J19" s="166"/>
      <c r="K19" s="157"/>
      <c r="L19" s="157"/>
      <c r="M19" s="157"/>
      <c r="N19" s="157"/>
      <c r="O19" s="176">
        <v>42996</v>
      </c>
      <c r="P19" s="176">
        <v>43510</v>
      </c>
      <c r="Q19" s="157"/>
      <c r="R19" s="157"/>
      <c r="S19" s="157"/>
      <c r="T19" s="157"/>
      <c r="U19" s="157"/>
      <c r="V19" s="157"/>
    </row>
    <row r="20" spans="1:23" ht="29" x14ac:dyDescent="0.35">
      <c r="A20" s="160" t="s">
        <v>165</v>
      </c>
      <c r="B20" s="167"/>
      <c r="C20" s="165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62" t="s">
        <v>166</v>
      </c>
      <c r="P20" s="162" t="s">
        <v>166</v>
      </c>
      <c r="Q20" s="157"/>
      <c r="R20" s="157"/>
      <c r="S20" s="157"/>
      <c r="T20" s="157"/>
      <c r="U20" s="157"/>
      <c r="V20" s="157"/>
    </row>
    <row r="21" spans="1:23" x14ac:dyDescent="0.35">
      <c r="A21" s="225" t="s">
        <v>167</v>
      </c>
      <c r="B21" s="225"/>
      <c r="C21" s="225">
        <f>IFERROR(C18-C17,"")</f>
        <v>0</v>
      </c>
      <c r="D21" s="225">
        <f t="shared" ref="D21:W21" si="1">IFERROR(D18-D17,"")</f>
        <v>0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0</v>
      </c>
      <c r="J21" s="225">
        <f t="shared" si="1"/>
        <v>0</v>
      </c>
      <c r="K21" s="225">
        <f t="shared" si="1"/>
        <v>0</v>
      </c>
      <c r="L21" s="225">
        <f t="shared" si="1"/>
        <v>0</v>
      </c>
      <c r="M21" s="225">
        <f t="shared" si="1"/>
        <v>0</v>
      </c>
      <c r="N21" s="225">
        <f t="shared" si="1"/>
        <v>0</v>
      </c>
      <c r="O21" s="225">
        <f t="shared" si="1"/>
        <v>3007</v>
      </c>
      <c r="P21" s="225">
        <f t="shared" si="1"/>
        <v>14341</v>
      </c>
      <c r="Q21" s="225">
        <f t="shared" si="1"/>
        <v>0</v>
      </c>
      <c r="R21" s="225">
        <f t="shared" si="1"/>
        <v>0</v>
      </c>
      <c r="S21" s="225">
        <f t="shared" si="1"/>
        <v>0</v>
      </c>
      <c r="T21" s="225">
        <f t="shared" si="1"/>
        <v>0</v>
      </c>
      <c r="U21" s="225">
        <f t="shared" si="1"/>
        <v>0</v>
      </c>
      <c r="V21" s="225">
        <f t="shared" si="1"/>
        <v>0</v>
      </c>
      <c r="W21" s="225">
        <f t="shared" si="1"/>
        <v>0</v>
      </c>
    </row>
    <row r="22" spans="1:23" ht="16.399999999999999" customHeight="1" x14ac:dyDescent="0.35">
      <c r="A22" s="65" t="s">
        <v>2</v>
      </c>
      <c r="B22" s="65"/>
      <c r="C22" s="65">
        <f>AVERAGE(C14,C21)</f>
        <v>9347.5</v>
      </c>
      <c r="D22" s="65">
        <f t="shared" ref="D22:W22" si="2">AVERAGE(D14,D21)</f>
        <v>0</v>
      </c>
      <c r="E22" s="65">
        <f t="shared" si="2"/>
        <v>0</v>
      </c>
      <c r="F22" s="65">
        <f t="shared" si="2"/>
        <v>0</v>
      </c>
      <c r="G22" s="65">
        <f t="shared" si="2"/>
        <v>0</v>
      </c>
      <c r="H22" s="65">
        <f t="shared" si="2"/>
        <v>0</v>
      </c>
      <c r="I22" s="65">
        <f t="shared" si="2"/>
        <v>0</v>
      </c>
      <c r="J22" s="65">
        <f t="shared" si="2"/>
        <v>0</v>
      </c>
      <c r="K22" s="65">
        <f t="shared" si="2"/>
        <v>0</v>
      </c>
      <c r="L22" s="65">
        <f t="shared" si="2"/>
        <v>0</v>
      </c>
      <c r="M22" s="65">
        <f t="shared" si="2"/>
        <v>0</v>
      </c>
      <c r="N22" s="65">
        <f t="shared" si="2"/>
        <v>0</v>
      </c>
      <c r="O22" s="65">
        <f t="shared" si="2"/>
        <v>3680.5</v>
      </c>
      <c r="P22" s="65">
        <f t="shared" si="2"/>
        <v>9347.5</v>
      </c>
      <c r="Q22" s="65">
        <f t="shared" si="2"/>
        <v>0</v>
      </c>
      <c r="R22" s="65">
        <f t="shared" si="2"/>
        <v>0</v>
      </c>
      <c r="S22" s="65">
        <f t="shared" si="2"/>
        <v>0</v>
      </c>
      <c r="T22" s="65">
        <f t="shared" si="2"/>
        <v>0</v>
      </c>
      <c r="U22" s="65">
        <f t="shared" si="2"/>
        <v>0</v>
      </c>
      <c r="V22" s="65">
        <f t="shared" si="2"/>
        <v>9347.5</v>
      </c>
      <c r="W22" s="65">
        <f t="shared" si="2"/>
        <v>0</v>
      </c>
    </row>
    <row r="23" spans="1:23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2"/>
      <c r="O23" s="176">
        <v>42996</v>
      </c>
      <c r="P23" s="154"/>
      <c r="Q23" s="168"/>
      <c r="R23" s="154"/>
      <c r="S23" s="154"/>
      <c r="T23" s="154"/>
      <c r="U23" s="154"/>
      <c r="V23" s="154"/>
    </row>
    <row r="24" spans="1:23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72">
        <v>7361</v>
      </c>
      <c r="P24" s="157"/>
      <c r="Q24" s="157"/>
      <c r="R24" s="157"/>
      <c r="S24" s="157"/>
      <c r="T24" s="157"/>
      <c r="U24" s="157"/>
      <c r="V24" s="157"/>
    </row>
    <row r="25" spans="1:23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72"/>
      <c r="P25" s="157"/>
      <c r="Q25" s="157"/>
      <c r="R25" s="157"/>
      <c r="S25" s="157"/>
      <c r="T25" s="157"/>
      <c r="U25" s="157"/>
      <c r="V25" s="157"/>
    </row>
    <row r="26" spans="1:23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/>
      <c r="O26" s="176">
        <v>43647</v>
      </c>
      <c r="P26" s="157"/>
      <c r="Q26" s="157"/>
      <c r="R26" s="157"/>
      <c r="S26" s="157"/>
      <c r="T26" s="157"/>
      <c r="U26" s="157"/>
      <c r="V26" s="157"/>
    </row>
    <row r="27" spans="1:23" ht="29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62" t="s">
        <v>166</v>
      </c>
      <c r="P27" s="157"/>
      <c r="Q27" s="157"/>
      <c r="R27" s="157"/>
      <c r="S27" s="157"/>
      <c r="T27" s="157"/>
      <c r="U27" s="157"/>
      <c r="V27" s="157"/>
    </row>
    <row r="28" spans="1:23" x14ac:dyDescent="0.35">
      <c r="A28" s="225" t="s">
        <v>167</v>
      </c>
      <c r="B28" s="225"/>
      <c r="C28" s="225">
        <f>IFERROR(C25-C24,"")</f>
        <v>0</v>
      </c>
      <c r="D28" s="225">
        <f t="shared" ref="D28:W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0</v>
      </c>
      <c r="O28" s="225">
        <f t="shared" si="3"/>
        <v>-7361</v>
      </c>
      <c r="P28" s="225">
        <f t="shared" si="3"/>
        <v>0</v>
      </c>
      <c r="Q28" s="225">
        <f t="shared" si="3"/>
        <v>0</v>
      </c>
      <c r="R28" s="225">
        <f t="shared" si="3"/>
        <v>0</v>
      </c>
      <c r="S28" s="225">
        <f t="shared" si="3"/>
        <v>0</v>
      </c>
      <c r="T28" s="225">
        <f t="shared" si="3"/>
        <v>0</v>
      </c>
      <c r="U28" s="225">
        <f t="shared" si="3"/>
        <v>0</v>
      </c>
      <c r="V28" s="225">
        <f t="shared" si="3"/>
        <v>0</v>
      </c>
      <c r="W28" s="225">
        <f t="shared" si="3"/>
        <v>0</v>
      </c>
    </row>
    <row r="29" spans="1:23" ht="16.399999999999999" customHeight="1" x14ac:dyDescent="0.35">
      <c r="A29" s="65" t="s">
        <v>2</v>
      </c>
      <c r="B29" s="65"/>
      <c r="C29" s="65">
        <f>AVERAGE(C21,C28,C14)</f>
        <v>6231.666666666667</v>
      </c>
      <c r="D29" s="65">
        <f t="shared" ref="D29:W29" si="4">AVERAGE(D21,D28,D14)</f>
        <v>0</v>
      </c>
      <c r="E29" s="65">
        <f t="shared" si="4"/>
        <v>0</v>
      </c>
      <c r="F29" s="65">
        <f t="shared" si="4"/>
        <v>0</v>
      </c>
      <c r="G29" s="65">
        <f t="shared" si="4"/>
        <v>0</v>
      </c>
      <c r="H29" s="65">
        <f t="shared" si="4"/>
        <v>0</v>
      </c>
      <c r="I29" s="65">
        <f t="shared" si="4"/>
        <v>0</v>
      </c>
      <c r="J29" s="65">
        <f t="shared" si="4"/>
        <v>0</v>
      </c>
      <c r="K29" s="65">
        <f t="shared" si="4"/>
        <v>0</v>
      </c>
      <c r="L29" s="65">
        <f t="shared" si="4"/>
        <v>0</v>
      </c>
      <c r="M29" s="65">
        <f t="shared" si="4"/>
        <v>0</v>
      </c>
      <c r="N29" s="65">
        <f t="shared" si="4"/>
        <v>0</v>
      </c>
      <c r="O29" s="65">
        <f t="shared" si="4"/>
        <v>0</v>
      </c>
      <c r="P29" s="65">
        <f t="shared" si="4"/>
        <v>6231.666666666667</v>
      </c>
      <c r="Q29" s="65">
        <f t="shared" si="4"/>
        <v>0</v>
      </c>
      <c r="R29" s="65">
        <f t="shared" si="4"/>
        <v>0</v>
      </c>
      <c r="S29" s="65">
        <f t="shared" si="4"/>
        <v>0</v>
      </c>
      <c r="T29" s="65">
        <f t="shared" si="4"/>
        <v>0</v>
      </c>
      <c r="U29" s="65">
        <f t="shared" si="4"/>
        <v>0</v>
      </c>
      <c r="V29" s="65">
        <f t="shared" si="4"/>
        <v>6231.666666666667</v>
      </c>
      <c r="W29" s="65">
        <f t="shared" si="4"/>
        <v>0</v>
      </c>
    </row>
    <row r="30" spans="1:23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/>
      <c r="O30" s="152"/>
      <c r="P30" s="154"/>
      <c r="Q30" s="154"/>
      <c r="R30" s="154"/>
      <c r="S30" s="154"/>
      <c r="T30" s="154"/>
      <c r="U30" s="154"/>
      <c r="V30" s="154"/>
    </row>
    <row r="31" spans="1:23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</row>
    <row r="32" spans="1:23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72"/>
      <c r="P32" s="157"/>
      <c r="Q32" s="157"/>
      <c r="R32" s="157"/>
      <c r="S32" s="157"/>
      <c r="T32" s="157"/>
      <c r="U32" s="157"/>
      <c r="V32" s="157"/>
    </row>
    <row r="33" spans="1:23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</row>
    <row r="34" spans="1:23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</row>
    <row r="35" spans="1:23" x14ac:dyDescent="0.35">
      <c r="A35" s="225" t="s">
        <v>167</v>
      </c>
      <c r="B35" s="225"/>
      <c r="C35" s="225">
        <f>IFERROR(C32-C31,"")</f>
        <v>0</v>
      </c>
      <c r="D35" s="225">
        <f t="shared" ref="D35:W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0</v>
      </c>
      <c r="P35" s="225">
        <f t="shared" si="5"/>
        <v>0</v>
      </c>
      <c r="Q35" s="225">
        <f t="shared" si="5"/>
        <v>0</v>
      </c>
      <c r="R35" s="225">
        <f t="shared" si="5"/>
        <v>0</v>
      </c>
      <c r="S35" s="225">
        <f t="shared" si="5"/>
        <v>0</v>
      </c>
      <c r="T35" s="225">
        <f t="shared" si="5"/>
        <v>0</v>
      </c>
      <c r="U35" s="225">
        <f t="shared" si="5"/>
        <v>0</v>
      </c>
      <c r="V35" s="225">
        <f t="shared" si="5"/>
        <v>0</v>
      </c>
      <c r="W35" s="225">
        <f t="shared" si="5"/>
        <v>0</v>
      </c>
    </row>
    <row r="36" spans="1:23" ht="16.399999999999999" customHeight="1" x14ac:dyDescent="0.35">
      <c r="A36" s="65" t="s">
        <v>2</v>
      </c>
      <c r="B36" s="65"/>
      <c r="C36" s="65">
        <f>AVERAGE(C28,C35,C21,C14)</f>
        <v>4673.75</v>
      </c>
      <c r="D36" s="65">
        <f t="shared" ref="D36:W36" si="6">AVERAGE(D28,D35,D21,D14)</f>
        <v>0</v>
      </c>
      <c r="E36" s="65">
        <f t="shared" si="6"/>
        <v>0</v>
      </c>
      <c r="F36" s="65">
        <f t="shared" si="6"/>
        <v>0</v>
      </c>
      <c r="G36" s="65">
        <f t="shared" si="6"/>
        <v>0</v>
      </c>
      <c r="H36" s="65">
        <f t="shared" si="6"/>
        <v>0</v>
      </c>
      <c r="I36" s="65">
        <f t="shared" si="6"/>
        <v>0</v>
      </c>
      <c r="J36" s="65">
        <f t="shared" si="6"/>
        <v>0</v>
      </c>
      <c r="K36" s="65">
        <f t="shared" si="6"/>
        <v>0</v>
      </c>
      <c r="L36" s="65">
        <f t="shared" si="6"/>
        <v>0</v>
      </c>
      <c r="M36" s="65">
        <f t="shared" si="6"/>
        <v>0</v>
      </c>
      <c r="N36" s="65">
        <f t="shared" si="6"/>
        <v>0</v>
      </c>
      <c r="O36" s="65">
        <f t="shared" si="6"/>
        <v>0</v>
      </c>
      <c r="P36" s="65">
        <f t="shared" si="6"/>
        <v>4673.75</v>
      </c>
      <c r="Q36" s="65">
        <f t="shared" si="6"/>
        <v>0</v>
      </c>
      <c r="R36" s="65">
        <f t="shared" si="6"/>
        <v>0</v>
      </c>
      <c r="S36" s="65">
        <f t="shared" si="6"/>
        <v>0</v>
      </c>
      <c r="T36" s="65">
        <f t="shared" si="6"/>
        <v>0</v>
      </c>
      <c r="U36" s="65">
        <f t="shared" si="6"/>
        <v>0</v>
      </c>
      <c r="V36" s="65">
        <f t="shared" si="6"/>
        <v>4673.75</v>
      </c>
      <c r="W36" s="65">
        <f t="shared" si="6"/>
        <v>0</v>
      </c>
    </row>
    <row r="37" spans="1:23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52"/>
      <c r="P37" s="154"/>
      <c r="Q37" s="154"/>
      <c r="R37" s="154"/>
      <c r="S37" s="154"/>
      <c r="T37" s="154"/>
      <c r="U37" s="154"/>
      <c r="V37" s="154"/>
    </row>
    <row r="38" spans="1:23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</row>
    <row r="39" spans="1:23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</row>
    <row r="40" spans="1:23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</row>
    <row r="41" spans="1:23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</row>
    <row r="42" spans="1:23" x14ac:dyDescent="0.35">
      <c r="A42" s="225" t="s">
        <v>167</v>
      </c>
      <c r="B42" s="225"/>
      <c r="C42" s="225">
        <f>IFERROR(C39-C38,"")</f>
        <v>0</v>
      </c>
      <c r="D42" s="225">
        <f t="shared" ref="D42:W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0</v>
      </c>
      <c r="P42" s="225">
        <f t="shared" si="7"/>
        <v>0</v>
      </c>
      <c r="Q42" s="225">
        <f t="shared" si="7"/>
        <v>0</v>
      </c>
      <c r="R42" s="225">
        <f t="shared" si="7"/>
        <v>0</v>
      </c>
      <c r="S42" s="225">
        <f t="shared" si="7"/>
        <v>0</v>
      </c>
      <c r="T42" s="225">
        <f t="shared" si="7"/>
        <v>0</v>
      </c>
      <c r="U42" s="225">
        <f t="shared" si="7"/>
        <v>0</v>
      </c>
      <c r="V42" s="225">
        <f t="shared" si="7"/>
        <v>0</v>
      </c>
      <c r="W42" s="225">
        <f t="shared" si="7"/>
        <v>0</v>
      </c>
    </row>
    <row r="43" spans="1:23" ht="16.399999999999999" customHeight="1" x14ac:dyDescent="0.35">
      <c r="A43" s="65" t="s">
        <v>2</v>
      </c>
      <c r="B43" s="65"/>
      <c r="C43" s="65">
        <f>AVERAGE(C35,C42,C28,C21,C14)</f>
        <v>3739</v>
      </c>
      <c r="D43" s="65">
        <f t="shared" ref="D43:W43" si="8">AVERAGE(D35,D42,D28,D21,D14)</f>
        <v>0</v>
      </c>
      <c r="E43" s="65">
        <f t="shared" si="8"/>
        <v>0</v>
      </c>
      <c r="F43" s="65">
        <f t="shared" si="8"/>
        <v>0</v>
      </c>
      <c r="G43" s="65">
        <f t="shared" si="8"/>
        <v>0</v>
      </c>
      <c r="H43" s="65">
        <f t="shared" si="8"/>
        <v>0</v>
      </c>
      <c r="I43" s="65">
        <f t="shared" si="8"/>
        <v>0</v>
      </c>
      <c r="J43" s="65">
        <f t="shared" si="8"/>
        <v>0</v>
      </c>
      <c r="K43" s="65">
        <f t="shared" si="8"/>
        <v>0</v>
      </c>
      <c r="L43" s="65">
        <f t="shared" si="8"/>
        <v>0</v>
      </c>
      <c r="M43" s="65">
        <f t="shared" si="8"/>
        <v>0</v>
      </c>
      <c r="N43" s="65">
        <f t="shared" si="8"/>
        <v>0</v>
      </c>
      <c r="O43" s="65">
        <f t="shared" si="8"/>
        <v>0</v>
      </c>
      <c r="P43" s="65">
        <f t="shared" si="8"/>
        <v>3739</v>
      </c>
      <c r="Q43" s="65">
        <f t="shared" si="8"/>
        <v>0</v>
      </c>
      <c r="R43" s="65">
        <f t="shared" si="8"/>
        <v>0</v>
      </c>
      <c r="S43" s="65">
        <f t="shared" si="8"/>
        <v>0</v>
      </c>
      <c r="T43" s="65">
        <f t="shared" si="8"/>
        <v>0</v>
      </c>
      <c r="U43" s="65">
        <f t="shared" si="8"/>
        <v>0</v>
      </c>
      <c r="V43" s="65">
        <f t="shared" si="8"/>
        <v>3739</v>
      </c>
      <c r="W43" s="65">
        <f t="shared" si="8"/>
        <v>0</v>
      </c>
    </row>
    <row r="44" spans="1:23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/>
      <c r="P44" s="154"/>
      <c r="Q44" s="154"/>
      <c r="R44" s="154"/>
      <c r="S44" s="154"/>
      <c r="T44" s="154"/>
      <c r="U44" s="154"/>
      <c r="V44" s="154"/>
    </row>
    <row r="45" spans="1:23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</row>
    <row r="46" spans="1:23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</row>
    <row r="47" spans="1:23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</row>
    <row r="48" spans="1:23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</row>
    <row r="49" spans="1:23" x14ac:dyDescent="0.35">
      <c r="A49" s="225" t="s">
        <v>167</v>
      </c>
      <c r="B49" s="225"/>
      <c r="C49" s="225">
        <f>IFERROR(C46-C45,"")</f>
        <v>0</v>
      </c>
      <c r="D49" s="225">
        <f t="shared" ref="D49:W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  <c r="V49" s="225">
        <f t="shared" si="9"/>
        <v>0</v>
      </c>
      <c r="W49" s="225">
        <f t="shared" si="9"/>
        <v>0</v>
      </c>
    </row>
    <row r="50" spans="1:23" ht="16.399999999999999" customHeight="1" x14ac:dyDescent="0.35">
      <c r="A50" s="65" t="s">
        <v>2</v>
      </c>
      <c r="B50" s="65"/>
      <c r="C50" s="65">
        <f>AVERAGE(C42,C49,C35,C28,C21,C14)</f>
        <v>3115.8333333333335</v>
      </c>
      <c r="D50" s="65">
        <f t="shared" ref="D50:W50" si="10">AVERAGE(D42,D49,D35,D28,D21,D14)</f>
        <v>0</v>
      </c>
      <c r="E50" s="65">
        <f t="shared" si="10"/>
        <v>0</v>
      </c>
      <c r="F50" s="65">
        <f t="shared" si="10"/>
        <v>0</v>
      </c>
      <c r="G50" s="65">
        <f t="shared" si="10"/>
        <v>0</v>
      </c>
      <c r="H50" s="65">
        <f t="shared" si="10"/>
        <v>0</v>
      </c>
      <c r="I50" s="65">
        <f t="shared" si="10"/>
        <v>0</v>
      </c>
      <c r="J50" s="65">
        <f t="shared" si="10"/>
        <v>0</v>
      </c>
      <c r="K50" s="65">
        <f t="shared" si="10"/>
        <v>0</v>
      </c>
      <c r="L50" s="65">
        <f t="shared" si="10"/>
        <v>0</v>
      </c>
      <c r="M50" s="65">
        <f t="shared" si="10"/>
        <v>0</v>
      </c>
      <c r="N50" s="65">
        <f t="shared" si="10"/>
        <v>0</v>
      </c>
      <c r="O50" s="65">
        <f t="shared" si="10"/>
        <v>0</v>
      </c>
      <c r="P50" s="65">
        <f t="shared" si="10"/>
        <v>3115.8333333333335</v>
      </c>
      <c r="Q50" s="65">
        <f t="shared" si="10"/>
        <v>0</v>
      </c>
      <c r="R50" s="65">
        <f t="shared" si="10"/>
        <v>0</v>
      </c>
      <c r="S50" s="65">
        <f t="shared" si="10"/>
        <v>0</v>
      </c>
      <c r="T50" s="65">
        <f t="shared" si="10"/>
        <v>0</v>
      </c>
      <c r="U50" s="65">
        <f t="shared" si="10"/>
        <v>0</v>
      </c>
      <c r="V50" s="65">
        <f t="shared" si="10"/>
        <v>3115.8333333333335</v>
      </c>
      <c r="W50" s="65">
        <f t="shared" si="10"/>
        <v>0</v>
      </c>
    </row>
    <row r="51" spans="1:23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/>
      <c r="P51" s="154"/>
      <c r="Q51" s="154"/>
      <c r="R51" s="154"/>
      <c r="S51" s="154"/>
      <c r="T51" s="154"/>
      <c r="U51" s="154"/>
      <c r="V51" s="154"/>
    </row>
    <row r="52" spans="1:23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</row>
    <row r="53" spans="1:23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</row>
    <row r="54" spans="1:23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</row>
    <row r="55" spans="1:23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</row>
    <row r="56" spans="1:23" x14ac:dyDescent="0.35">
      <c r="A56" s="225" t="s">
        <v>167</v>
      </c>
      <c r="B56" s="225"/>
      <c r="C56" s="225">
        <f>IFERROR(C53-C52,"")</f>
        <v>0</v>
      </c>
      <c r="D56" s="225">
        <f t="shared" ref="D56:W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0</v>
      </c>
      <c r="P56" s="225">
        <f t="shared" si="11"/>
        <v>0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  <c r="V56" s="225">
        <f t="shared" si="11"/>
        <v>0</v>
      </c>
      <c r="W56" s="225">
        <f t="shared" si="11"/>
        <v>0</v>
      </c>
    </row>
    <row r="57" spans="1:23" ht="16.399999999999999" customHeight="1" x14ac:dyDescent="0.35">
      <c r="A57" s="65" t="s">
        <v>2</v>
      </c>
      <c r="B57" s="65"/>
      <c r="C57" s="65">
        <f>AVERAGE(C49,C56,C42,C35,C28,C21,C14)</f>
        <v>2670.7142857142858</v>
      </c>
      <c r="D57" s="65">
        <f t="shared" ref="D57:W57" si="12">AVERAGE(D49,D56,D42,D35,D28,D21,D14)</f>
        <v>0</v>
      </c>
      <c r="E57" s="65">
        <f t="shared" si="12"/>
        <v>0</v>
      </c>
      <c r="F57" s="65">
        <f t="shared" si="12"/>
        <v>0</v>
      </c>
      <c r="G57" s="65">
        <f t="shared" si="12"/>
        <v>0</v>
      </c>
      <c r="H57" s="65">
        <f t="shared" si="12"/>
        <v>0</v>
      </c>
      <c r="I57" s="65">
        <f t="shared" si="12"/>
        <v>0</v>
      </c>
      <c r="J57" s="65">
        <f t="shared" si="12"/>
        <v>0</v>
      </c>
      <c r="K57" s="65">
        <f t="shared" si="12"/>
        <v>0</v>
      </c>
      <c r="L57" s="65">
        <f t="shared" si="12"/>
        <v>0</v>
      </c>
      <c r="M57" s="65">
        <f t="shared" si="12"/>
        <v>0</v>
      </c>
      <c r="N57" s="65">
        <f t="shared" si="12"/>
        <v>0</v>
      </c>
      <c r="O57" s="65">
        <f t="shared" si="12"/>
        <v>0</v>
      </c>
      <c r="P57" s="65">
        <f t="shared" si="12"/>
        <v>2670.7142857142858</v>
      </c>
      <c r="Q57" s="65">
        <f t="shared" si="12"/>
        <v>0</v>
      </c>
      <c r="R57" s="65">
        <f t="shared" si="12"/>
        <v>0</v>
      </c>
      <c r="S57" s="65">
        <f t="shared" si="12"/>
        <v>0</v>
      </c>
      <c r="T57" s="65">
        <f t="shared" si="12"/>
        <v>0</v>
      </c>
      <c r="U57" s="65">
        <f t="shared" si="12"/>
        <v>0</v>
      </c>
      <c r="V57" s="65">
        <f t="shared" si="12"/>
        <v>2670.7142857142858</v>
      </c>
      <c r="W57" s="65">
        <f t="shared" si="12"/>
        <v>0</v>
      </c>
    </row>
    <row r="58" spans="1:23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/>
      <c r="P58" s="154"/>
      <c r="Q58" s="154"/>
      <c r="R58" s="154"/>
      <c r="S58" s="154"/>
      <c r="T58" s="154"/>
      <c r="U58" s="154"/>
      <c r="V58" s="154"/>
    </row>
    <row r="59" spans="1:23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</row>
    <row r="60" spans="1:23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</row>
    <row r="61" spans="1:23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</row>
    <row r="62" spans="1:23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</row>
    <row r="63" spans="1:23" x14ac:dyDescent="0.35">
      <c r="A63" s="225" t="s">
        <v>167</v>
      </c>
      <c r="B63" s="225"/>
      <c r="C63" s="225">
        <f>IFERROR(C60-C59,"")</f>
        <v>0</v>
      </c>
      <c r="D63" s="225">
        <f t="shared" ref="D63:W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  <c r="V63" s="225">
        <f t="shared" si="13"/>
        <v>0</v>
      </c>
      <c r="W63" s="225">
        <f t="shared" si="13"/>
        <v>0</v>
      </c>
    </row>
    <row r="64" spans="1:23" ht="16.399999999999999" customHeight="1" x14ac:dyDescent="0.35">
      <c r="A64" s="65" t="s">
        <v>2</v>
      </c>
      <c r="B64" s="65"/>
      <c r="C64" s="65">
        <f>AVERAGE(C56,C63,C49,C42,C35,C28,C21,C14)</f>
        <v>2336.875</v>
      </c>
      <c r="D64" s="65">
        <f t="shared" ref="D64:W64" si="14">AVERAGE(D56,D63,D49,D42,D35,D28,D21,D14)</f>
        <v>0</v>
      </c>
      <c r="E64" s="65">
        <f t="shared" si="14"/>
        <v>0</v>
      </c>
      <c r="F64" s="65">
        <f t="shared" si="14"/>
        <v>0</v>
      </c>
      <c r="G64" s="65">
        <f t="shared" si="14"/>
        <v>0</v>
      </c>
      <c r="H64" s="65">
        <f t="shared" si="14"/>
        <v>0</v>
      </c>
      <c r="I64" s="65">
        <f t="shared" si="14"/>
        <v>0</v>
      </c>
      <c r="J64" s="65">
        <f t="shared" si="14"/>
        <v>0</v>
      </c>
      <c r="K64" s="65">
        <f t="shared" si="14"/>
        <v>0</v>
      </c>
      <c r="L64" s="65">
        <f t="shared" si="14"/>
        <v>0</v>
      </c>
      <c r="M64" s="65">
        <f t="shared" si="14"/>
        <v>0</v>
      </c>
      <c r="N64" s="65">
        <f t="shared" si="14"/>
        <v>0</v>
      </c>
      <c r="O64" s="65">
        <f t="shared" si="14"/>
        <v>0</v>
      </c>
      <c r="P64" s="65">
        <f t="shared" si="14"/>
        <v>2336.875</v>
      </c>
      <c r="Q64" s="65">
        <f t="shared" si="14"/>
        <v>0</v>
      </c>
      <c r="R64" s="65">
        <f t="shared" si="14"/>
        <v>0</v>
      </c>
      <c r="S64" s="65">
        <f t="shared" si="14"/>
        <v>0</v>
      </c>
      <c r="T64" s="65">
        <f t="shared" si="14"/>
        <v>0</v>
      </c>
      <c r="U64" s="65">
        <f t="shared" si="14"/>
        <v>0</v>
      </c>
      <c r="V64" s="65">
        <f t="shared" si="14"/>
        <v>2336.875</v>
      </c>
      <c r="W64" s="65">
        <f t="shared" si="14"/>
        <v>0</v>
      </c>
    </row>
  </sheetData>
  <sheetProtection algorithmName="SHA-512" hashValue="is26V5IYAtAJjSZIi1YoVaf+L9Rjvs/D+gHk9E/u0xvoCpJTTtREy7KaJNjUESjnMzgtmbwRcMys6dDhlA7iYQ==" saltValue="EITVV5vKnICo5g5mRG21tg==" spinCount="100000" sheet="1" objects="1" scenarios="1"/>
  <autoFilter ref="A2:W64" xr:uid="{00000000-0009-0000-0000-000016000000}"/>
  <mergeCells count="2">
    <mergeCell ref="A7:B7"/>
    <mergeCell ref="A8:B8"/>
  </mergeCell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4"/>
  <dimension ref="A1:W64"/>
  <sheetViews>
    <sheetView workbookViewId="0">
      <selection activeCell="A5" sqref="A5"/>
    </sheetView>
  </sheetViews>
  <sheetFormatPr defaultColWidth="8.81640625" defaultRowHeight="14.5" x14ac:dyDescent="0.35"/>
  <cols>
    <col min="1" max="1" width="16.1796875" customWidth="1"/>
    <col min="2" max="2" width="5.81640625" customWidth="1"/>
    <col min="3" max="5" width="21.54296875" bestFit="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20" width="17.1796875" bestFit="1" customWidth="1"/>
    <col min="21" max="21" width="15.1796875" bestFit="1" customWidth="1"/>
    <col min="22" max="22" width="17.1796875" bestFit="1" customWidth="1"/>
  </cols>
  <sheetData>
    <row r="1" spans="1:23" ht="24" thickBot="1" x14ac:dyDescent="0.4">
      <c r="A1" s="186"/>
    </row>
    <row r="2" spans="1:23" x14ac:dyDescent="0.35">
      <c r="E2" s="130" t="s">
        <v>195</v>
      </c>
      <c r="F2" s="131"/>
      <c r="G2" s="131" t="s">
        <v>104</v>
      </c>
      <c r="H2" s="131"/>
      <c r="I2" s="132"/>
    </row>
    <row r="3" spans="1:23" x14ac:dyDescent="0.35">
      <c r="E3" s="133"/>
      <c r="F3" s="134" t="s">
        <v>106</v>
      </c>
      <c r="G3" s="135" t="s">
        <v>275</v>
      </c>
      <c r="H3" s="134"/>
      <c r="I3" s="136"/>
    </row>
    <row r="4" spans="1:23" ht="15" thickBot="1" x14ac:dyDescent="0.4">
      <c r="A4" t="s">
        <v>168</v>
      </c>
      <c r="B4" t="s">
        <v>169</v>
      </c>
      <c r="E4" s="137"/>
      <c r="F4" s="138" t="s">
        <v>276</v>
      </c>
      <c r="G4" s="139"/>
      <c r="H4" s="138" t="s">
        <v>112</v>
      </c>
      <c r="I4" s="140"/>
    </row>
    <row r="5" spans="1:23" ht="24" customHeight="1" x14ac:dyDescent="0.45">
      <c r="A5" s="179" t="s">
        <v>459</v>
      </c>
      <c r="B5" t="s">
        <v>278</v>
      </c>
    </row>
    <row r="6" spans="1:23" ht="28.4" customHeight="1" x14ac:dyDescent="0.35">
      <c r="A6" s="142" t="s">
        <v>200</v>
      </c>
      <c r="B6" s="169"/>
      <c r="C6" s="142" t="s">
        <v>57</v>
      </c>
      <c r="D6" s="142" t="s">
        <v>78</v>
      </c>
      <c r="E6" s="142" t="s">
        <v>58</v>
      </c>
      <c r="F6" s="142" t="s">
        <v>79</v>
      </c>
      <c r="G6" s="143" t="s">
        <v>80</v>
      </c>
      <c r="H6" s="143" t="s">
        <v>81</v>
      </c>
      <c r="I6" s="143" t="s">
        <v>59</v>
      </c>
      <c r="J6" s="142" t="s">
        <v>82</v>
      </c>
      <c r="K6" s="142" t="s">
        <v>75</v>
      </c>
      <c r="L6" s="142" t="s">
        <v>83</v>
      </c>
      <c r="M6" s="142" t="s">
        <v>60</v>
      </c>
      <c r="N6" s="142" t="s">
        <v>61</v>
      </c>
      <c r="O6" s="142" t="s">
        <v>62</v>
      </c>
      <c r="P6" s="144" t="s">
        <v>63</v>
      </c>
      <c r="Q6" s="142" t="s">
        <v>84</v>
      </c>
      <c r="R6" s="142" t="s">
        <v>85</v>
      </c>
      <c r="S6" s="142" t="s">
        <v>86</v>
      </c>
      <c r="T6" s="142" t="s">
        <v>87</v>
      </c>
      <c r="U6" s="142" t="s">
        <v>65</v>
      </c>
      <c r="V6" s="142" t="s">
        <v>35</v>
      </c>
      <c r="W6" s="142" t="s">
        <v>460</v>
      </c>
    </row>
    <row r="7" spans="1:23" x14ac:dyDescent="0.35">
      <c r="A7" s="252" t="s">
        <v>137</v>
      </c>
      <c r="B7" s="252"/>
      <c r="C7" s="145" t="s">
        <v>140</v>
      </c>
      <c r="D7" s="145" t="s">
        <v>141</v>
      </c>
      <c r="E7" s="146" t="s">
        <v>138</v>
      </c>
      <c r="F7" s="145" t="s">
        <v>215</v>
      </c>
      <c r="G7" s="145" t="s">
        <v>142</v>
      </c>
      <c r="H7" s="145" t="s">
        <v>143</v>
      </c>
      <c r="I7" s="145" t="s">
        <v>144</v>
      </c>
      <c r="J7" s="145" t="s">
        <v>145</v>
      </c>
      <c r="K7" s="145" t="s">
        <v>146</v>
      </c>
      <c r="L7" s="145" t="s">
        <v>147</v>
      </c>
      <c r="M7" s="145" t="s">
        <v>148</v>
      </c>
      <c r="N7" s="145" t="s">
        <v>149</v>
      </c>
      <c r="O7" s="145" t="s">
        <v>150</v>
      </c>
      <c r="P7" s="145" t="s">
        <v>151</v>
      </c>
      <c r="Q7" s="145" t="s">
        <v>152</v>
      </c>
      <c r="R7" s="145" t="s">
        <v>153</v>
      </c>
      <c r="S7" s="145" t="s">
        <v>154</v>
      </c>
      <c r="T7" s="145" t="s">
        <v>155</v>
      </c>
      <c r="U7" s="145" t="s">
        <v>157</v>
      </c>
      <c r="V7" s="145" t="s">
        <v>279</v>
      </c>
      <c r="W7" s="145"/>
    </row>
    <row r="8" spans="1:23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2</v>
      </c>
      <c r="K8" s="147">
        <v>1</v>
      </c>
      <c r="L8" s="147">
        <v>2</v>
      </c>
      <c r="M8" s="147">
        <v>1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4</v>
      </c>
      <c r="U8" s="147">
        <v>1</v>
      </c>
      <c r="V8" s="147">
        <v>1</v>
      </c>
      <c r="W8" s="147"/>
    </row>
    <row r="9" spans="1:23" x14ac:dyDescent="0.35">
      <c r="A9" s="150" t="s">
        <v>159</v>
      </c>
      <c r="B9" s="151"/>
      <c r="C9" s="173" t="s">
        <v>225</v>
      </c>
      <c r="D9" s="152"/>
      <c r="E9" s="152"/>
      <c r="F9" s="152"/>
      <c r="G9" s="152"/>
      <c r="H9" s="152"/>
      <c r="I9" s="152"/>
      <c r="J9" s="152"/>
      <c r="K9" s="154"/>
      <c r="L9" s="152"/>
      <c r="M9" s="152"/>
      <c r="N9" s="152"/>
      <c r="O9" s="173" t="s">
        <v>225</v>
      </c>
      <c r="P9" s="173" t="s">
        <v>225</v>
      </c>
      <c r="Q9" s="154"/>
      <c r="R9" s="152"/>
      <c r="S9" s="152"/>
      <c r="T9" s="152"/>
      <c r="U9" s="152"/>
      <c r="V9" s="173" t="s">
        <v>225</v>
      </c>
      <c r="W9" s="173"/>
    </row>
    <row r="10" spans="1:23" x14ac:dyDescent="0.35">
      <c r="A10" s="155" t="s">
        <v>161</v>
      </c>
      <c r="B10" s="156" t="s">
        <v>162</v>
      </c>
      <c r="C10" s="172">
        <v>0</v>
      </c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72">
        <v>0</v>
      </c>
      <c r="P10" s="172">
        <v>0</v>
      </c>
      <c r="Q10" s="157"/>
      <c r="R10" s="157"/>
      <c r="S10" s="157"/>
      <c r="T10" s="157"/>
      <c r="U10" s="157"/>
      <c r="V10" s="172">
        <v>0</v>
      </c>
      <c r="W10" s="172"/>
    </row>
    <row r="11" spans="1:23" x14ac:dyDescent="0.35">
      <c r="A11" s="155" t="s">
        <v>161</v>
      </c>
      <c r="B11" s="156" t="s">
        <v>163</v>
      </c>
      <c r="C11" s="172">
        <v>18695</v>
      </c>
      <c r="D11" s="157"/>
      <c r="E11" s="157">
        <v>9264</v>
      </c>
      <c r="F11" s="157"/>
      <c r="G11" s="157"/>
      <c r="H11" s="157"/>
      <c r="I11" s="157">
        <v>10960</v>
      </c>
      <c r="J11" s="157"/>
      <c r="K11" s="157"/>
      <c r="L11" s="157"/>
      <c r="M11" s="157"/>
      <c r="N11" s="157">
        <v>9264</v>
      </c>
      <c r="O11" s="172">
        <v>4354</v>
      </c>
      <c r="P11" s="172">
        <v>4354</v>
      </c>
      <c r="Q11" s="157"/>
      <c r="R11" s="157"/>
      <c r="S11" s="157"/>
      <c r="T11" s="157"/>
      <c r="U11" s="157"/>
      <c r="V11" s="172">
        <v>18695</v>
      </c>
      <c r="W11" s="172">
        <v>9264</v>
      </c>
    </row>
    <row r="12" spans="1:23" x14ac:dyDescent="0.35">
      <c r="A12" s="155" t="s">
        <v>164</v>
      </c>
      <c r="B12" s="156"/>
      <c r="C12" s="176">
        <v>43510</v>
      </c>
      <c r="D12" s="157"/>
      <c r="E12" s="157" t="s">
        <v>461</v>
      </c>
      <c r="F12" s="157"/>
      <c r="G12" s="157"/>
      <c r="H12" s="157"/>
      <c r="I12" s="157" t="s">
        <v>462</v>
      </c>
      <c r="J12" s="166"/>
      <c r="K12" s="157"/>
      <c r="L12" s="157"/>
      <c r="M12" s="157"/>
      <c r="N12" s="157" t="s">
        <v>461</v>
      </c>
      <c r="O12" s="178">
        <v>42861</v>
      </c>
      <c r="P12" s="176">
        <v>42861</v>
      </c>
      <c r="Q12" s="157"/>
      <c r="R12" s="157"/>
      <c r="S12" s="157"/>
      <c r="T12" s="157"/>
      <c r="U12" s="157"/>
      <c r="V12" s="178">
        <v>43510</v>
      </c>
      <c r="W12" s="178" t="s">
        <v>461</v>
      </c>
    </row>
    <row r="13" spans="1:23" ht="29" x14ac:dyDescent="0.35">
      <c r="A13" s="160" t="s">
        <v>165</v>
      </c>
      <c r="B13" s="161"/>
      <c r="C13" s="162" t="s">
        <v>166</v>
      </c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62" t="s">
        <v>166</v>
      </c>
      <c r="P13" s="162" t="s">
        <v>166</v>
      </c>
      <c r="Q13" s="157"/>
      <c r="R13" s="157"/>
      <c r="S13" s="157"/>
      <c r="T13" s="157"/>
      <c r="U13" s="157"/>
      <c r="V13" s="162" t="s">
        <v>166</v>
      </c>
      <c r="W13" s="162"/>
    </row>
    <row r="14" spans="1:23" x14ac:dyDescent="0.35">
      <c r="A14" s="225" t="s">
        <v>167</v>
      </c>
      <c r="B14" s="225"/>
      <c r="C14" s="225">
        <f>IFERROR(C11-C10,"")</f>
        <v>18695</v>
      </c>
      <c r="D14" s="225">
        <f t="shared" ref="D14:W14" si="0">IFERROR(D11-D10,"")</f>
        <v>0</v>
      </c>
      <c r="E14" s="225">
        <f t="shared" si="0"/>
        <v>9264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10960</v>
      </c>
      <c r="J14" s="225">
        <f t="shared" si="0"/>
        <v>0</v>
      </c>
      <c r="K14" s="225">
        <f t="shared" si="0"/>
        <v>0</v>
      </c>
      <c r="L14" s="225">
        <f t="shared" si="0"/>
        <v>0</v>
      </c>
      <c r="M14" s="225">
        <f t="shared" si="0"/>
        <v>0</v>
      </c>
      <c r="N14" s="225">
        <f t="shared" si="0"/>
        <v>9264</v>
      </c>
      <c r="O14" s="225">
        <f t="shared" si="0"/>
        <v>4354</v>
      </c>
      <c r="P14" s="225">
        <f t="shared" si="0"/>
        <v>4354</v>
      </c>
      <c r="Q14" s="225">
        <f t="shared" si="0"/>
        <v>0</v>
      </c>
      <c r="R14" s="225">
        <f t="shared" si="0"/>
        <v>0</v>
      </c>
      <c r="S14" s="225">
        <f t="shared" si="0"/>
        <v>0</v>
      </c>
      <c r="T14" s="225">
        <f t="shared" si="0"/>
        <v>0</v>
      </c>
      <c r="U14" s="225">
        <f t="shared" si="0"/>
        <v>0</v>
      </c>
      <c r="V14" s="225">
        <f t="shared" si="0"/>
        <v>18695</v>
      </c>
      <c r="W14" s="225">
        <f t="shared" si="0"/>
        <v>9264</v>
      </c>
    </row>
    <row r="15" spans="1:23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</row>
    <row r="16" spans="1:23" x14ac:dyDescent="0.35">
      <c r="A16" s="150" t="s">
        <v>159</v>
      </c>
      <c r="B16" s="151"/>
      <c r="C16" s="163"/>
      <c r="D16" s="154"/>
      <c r="E16" s="154"/>
      <c r="F16" s="154"/>
      <c r="G16" s="154"/>
      <c r="H16" s="154"/>
      <c r="I16" s="154"/>
      <c r="J16" s="152"/>
      <c r="K16" s="154"/>
      <c r="L16" s="154"/>
      <c r="M16" s="154"/>
      <c r="N16" s="152"/>
      <c r="O16" s="178">
        <v>42861</v>
      </c>
      <c r="P16" s="176">
        <v>42861</v>
      </c>
      <c r="Q16" s="154"/>
      <c r="R16" s="154"/>
      <c r="S16" s="154"/>
      <c r="T16" s="154"/>
      <c r="U16" s="154"/>
      <c r="V16" s="154"/>
      <c r="W16" s="154"/>
    </row>
    <row r="17" spans="1:23" x14ac:dyDescent="0.35">
      <c r="A17" s="155" t="s">
        <v>161</v>
      </c>
      <c r="B17" s="156" t="s">
        <v>162</v>
      </c>
      <c r="C17" s="165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72">
        <v>4354</v>
      </c>
      <c r="P17" s="172">
        <v>4354</v>
      </c>
      <c r="Q17" s="157"/>
      <c r="R17" s="157"/>
      <c r="S17" s="157"/>
      <c r="T17" s="157"/>
      <c r="U17" s="157"/>
      <c r="V17" s="157"/>
      <c r="W17" s="157"/>
    </row>
    <row r="18" spans="1:23" x14ac:dyDescent="0.35">
      <c r="A18" s="155" t="s">
        <v>161</v>
      </c>
      <c r="B18" s="156" t="s">
        <v>163</v>
      </c>
      <c r="C18" s="165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72">
        <v>7361</v>
      </c>
      <c r="P18" s="172">
        <v>18695</v>
      </c>
      <c r="Q18" s="157"/>
      <c r="R18" s="157"/>
      <c r="S18" s="157"/>
      <c r="T18" s="157"/>
      <c r="U18" s="157"/>
      <c r="V18" s="157"/>
      <c r="W18" s="157"/>
    </row>
    <row r="19" spans="1:23" x14ac:dyDescent="0.35">
      <c r="A19" s="155" t="s">
        <v>164</v>
      </c>
      <c r="B19" s="156"/>
      <c r="C19" s="165"/>
      <c r="D19" s="157"/>
      <c r="E19" s="157"/>
      <c r="F19" s="157"/>
      <c r="G19" s="157"/>
      <c r="H19" s="157"/>
      <c r="I19" s="157"/>
      <c r="J19" s="166"/>
      <c r="K19" s="157"/>
      <c r="L19" s="157"/>
      <c r="M19" s="157"/>
      <c r="N19" s="157"/>
      <c r="O19" s="176">
        <v>42996</v>
      </c>
      <c r="P19" s="176">
        <v>43510</v>
      </c>
      <c r="Q19" s="157"/>
      <c r="R19" s="157"/>
      <c r="S19" s="157"/>
      <c r="T19" s="157"/>
      <c r="U19" s="157"/>
      <c r="V19" s="157"/>
      <c r="W19" s="157"/>
    </row>
    <row r="20" spans="1:23" ht="29" x14ac:dyDescent="0.35">
      <c r="A20" s="160" t="s">
        <v>165</v>
      </c>
      <c r="B20" s="167"/>
      <c r="C20" s="165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62" t="s">
        <v>166</v>
      </c>
      <c r="P20" s="162" t="s">
        <v>166</v>
      </c>
      <c r="Q20" s="157"/>
      <c r="R20" s="157"/>
      <c r="S20" s="157"/>
      <c r="T20" s="157"/>
      <c r="U20" s="157"/>
      <c r="V20" s="157"/>
      <c r="W20" s="157"/>
    </row>
    <row r="21" spans="1:23" x14ac:dyDescent="0.35">
      <c r="A21" s="225" t="s">
        <v>167</v>
      </c>
      <c r="B21" s="225"/>
      <c r="C21" s="225">
        <f>IFERROR(C18-C17,"")</f>
        <v>0</v>
      </c>
      <c r="D21" s="225">
        <f t="shared" ref="D21:W21" si="1">IFERROR(D18-D17,"")</f>
        <v>0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0</v>
      </c>
      <c r="J21" s="225">
        <f t="shared" si="1"/>
        <v>0</v>
      </c>
      <c r="K21" s="225">
        <f t="shared" si="1"/>
        <v>0</v>
      </c>
      <c r="L21" s="225">
        <f t="shared" si="1"/>
        <v>0</v>
      </c>
      <c r="M21" s="225">
        <f t="shared" si="1"/>
        <v>0</v>
      </c>
      <c r="N21" s="225">
        <f t="shared" si="1"/>
        <v>0</v>
      </c>
      <c r="O21" s="225">
        <f t="shared" si="1"/>
        <v>3007</v>
      </c>
      <c r="P21" s="225">
        <f t="shared" si="1"/>
        <v>14341</v>
      </c>
      <c r="Q21" s="225">
        <f t="shared" si="1"/>
        <v>0</v>
      </c>
      <c r="R21" s="225">
        <f t="shared" si="1"/>
        <v>0</v>
      </c>
      <c r="S21" s="225">
        <f t="shared" si="1"/>
        <v>0</v>
      </c>
      <c r="T21" s="225">
        <f t="shared" si="1"/>
        <v>0</v>
      </c>
      <c r="U21" s="225">
        <f t="shared" si="1"/>
        <v>0</v>
      </c>
      <c r="V21" s="225">
        <f t="shared" si="1"/>
        <v>0</v>
      </c>
      <c r="W21" s="225">
        <f t="shared" si="1"/>
        <v>0</v>
      </c>
    </row>
    <row r="22" spans="1:23" ht="16.399999999999999" customHeight="1" x14ac:dyDescent="0.35">
      <c r="A22" s="65" t="s">
        <v>2</v>
      </c>
      <c r="B22" s="65"/>
      <c r="C22" s="65">
        <f>AVERAGE(C14,C21)</f>
        <v>9347.5</v>
      </c>
      <c r="D22" s="65">
        <f t="shared" ref="D22:W22" si="2">AVERAGE(D14,D21)</f>
        <v>0</v>
      </c>
      <c r="E22" s="65">
        <f t="shared" si="2"/>
        <v>4632</v>
      </c>
      <c r="F22" s="65">
        <f t="shared" si="2"/>
        <v>0</v>
      </c>
      <c r="G22" s="65">
        <f t="shared" si="2"/>
        <v>0</v>
      </c>
      <c r="H22" s="65">
        <f t="shared" si="2"/>
        <v>0</v>
      </c>
      <c r="I22" s="65">
        <f t="shared" si="2"/>
        <v>5480</v>
      </c>
      <c r="J22" s="65">
        <f t="shared" si="2"/>
        <v>0</v>
      </c>
      <c r="K22" s="65">
        <f t="shared" si="2"/>
        <v>0</v>
      </c>
      <c r="L22" s="65">
        <f t="shared" si="2"/>
        <v>0</v>
      </c>
      <c r="M22" s="65">
        <f t="shared" si="2"/>
        <v>0</v>
      </c>
      <c r="N22" s="65">
        <f t="shared" si="2"/>
        <v>4632</v>
      </c>
      <c r="O22" s="65">
        <f t="shared" si="2"/>
        <v>3680.5</v>
      </c>
      <c r="P22" s="65">
        <f t="shared" si="2"/>
        <v>9347.5</v>
      </c>
      <c r="Q22" s="65">
        <f t="shared" si="2"/>
        <v>0</v>
      </c>
      <c r="R22" s="65">
        <f t="shared" si="2"/>
        <v>0</v>
      </c>
      <c r="S22" s="65">
        <f t="shared" si="2"/>
        <v>0</v>
      </c>
      <c r="T22" s="65">
        <f t="shared" si="2"/>
        <v>0</v>
      </c>
      <c r="U22" s="65">
        <f t="shared" si="2"/>
        <v>0</v>
      </c>
      <c r="V22" s="65">
        <f t="shared" si="2"/>
        <v>9347.5</v>
      </c>
      <c r="W22" s="65">
        <f t="shared" si="2"/>
        <v>4632</v>
      </c>
    </row>
    <row r="23" spans="1:23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2"/>
      <c r="O23" s="176">
        <v>42996</v>
      </c>
      <c r="P23" s="152">
        <v>43510</v>
      </c>
      <c r="Q23" s="168"/>
      <c r="R23" s="154"/>
      <c r="S23" s="154"/>
      <c r="T23" s="154"/>
      <c r="U23" s="154"/>
      <c r="V23" s="154"/>
      <c r="W23" s="154"/>
    </row>
    <row r="24" spans="1:23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72">
        <v>7361</v>
      </c>
      <c r="P24" s="157">
        <v>18695</v>
      </c>
      <c r="Q24" s="157"/>
      <c r="R24" s="157"/>
      <c r="S24" s="157"/>
      <c r="T24" s="157"/>
      <c r="U24" s="157"/>
      <c r="V24" s="157"/>
      <c r="W24" s="157"/>
    </row>
    <row r="25" spans="1:23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72"/>
      <c r="P25" s="157">
        <v>9264</v>
      </c>
      <c r="Q25" s="157"/>
      <c r="R25" s="157"/>
      <c r="S25" s="157"/>
      <c r="T25" s="157"/>
      <c r="U25" s="157"/>
      <c r="V25" s="157"/>
      <c r="W25" s="157"/>
    </row>
    <row r="26" spans="1:23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/>
      <c r="O26" s="176">
        <v>43647</v>
      </c>
      <c r="P26" s="157" t="s">
        <v>461</v>
      </c>
      <c r="Q26" s="157"/>
      <c r="R26" s="157"/>
      <c r="S26" s="157"/>
      <c r="T26" s="157"/>
      <c r="U26" s="157"/>
      <c r="V26" s="157"/>
      <c r="W26" s="157"/>
    </row>
    <row r="27" spans="1:23" ht="29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62" t="s">
        <v>166</v>
      </c>
      <c r="P27" s="157"/>
      <c r="Q27" s="157"/>
      <c r="R27" s="157"/>
      <c r="S27" s="157"/>
      <c r="T27" s="157"/>
      <c r="U27" s="157"/>
      <c r="V27" s="157"/>
      <c r="W27" s="157"/>
    </row>
    <row r="28" spans="1:23" x14ac:dyDescent="0.35">
      <c r="A28" s="225" t="s">
        <v>167</v>
      </c>
      <c r="B28" s="225"/>
      <c r="C28" s="225">
        <f>IFERROR(C25-C24,"")</f>
        <v>0</v>
      </c>
      <c r="D28" s="225">
        <f t="shared" ref="D28:W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0</v>
      </c>
      <c r="O28" s="225">
        <f t="shared" si="3"/>
        <v>-7361</v>
      </c>
      <c r="P28" s="225">
        <f t="shared" si="3"/>
        <v>-9431</v>
      </c>
      <c r="Q28" s="225">
        <f t="shared" si="3"/>
        <v>0</v>
      </c>
      <c r="R28" s="225">
        <f t="shared" si="3"/>
        <v>0</v>
      </c>
      <c r="S28" s="225">
        <f t="shared" si="3"/>
        <v>0</v>
      </c>
      <c r="T28" s="225">
        <f t="shared" si="3"/>
        <v>0</v>
      </c>
      <c r="U28" s="225">
        <f t="shared" si="3"/>
        <v>0</v>
      </c>
      <c r="V28" s="225">
        <f t="shared" si="3"/>
        <v>0</v>
      </c>
      <c r="W28" s="225">
        <f t="shared" si="3"/>
        <v>0</v>
      </c>
    </row>
    <row r="29" spans="1:23" ht="16.399999999999999" customHeight="1" x14ac:dyDescent="0.35">
      <c r="A29" s="65" t="s">
        <v>2</v>
      </c>
      <c r="B29" s="65"/>
      <c r="C29" s="65">
        <f>AVERAGE(C21,C28,C14)</f>
        <v>6231.666666666667</v>
      </c>
      <c r="D29" s="65">
        <f t="shared" ref="D29:W29" si="4">AVERAGE(D21,D28,D14)</f>
        <v>0</v>
      </c>
      <c r="E29" s="65">
        <f t="shared" si="4"/>
        <v>3088</v>
      </c>
      <c r="F29" s="65">
        <f t="shared" si="4"/>
        <v>0</v>
      </c>
      <c r="G29" s="65">
        <f t="shared" si="4"/>
        <v>0</v>
      </c>
      <c r="H29" s="65">
        <f t="shared" si="4"/>
        <v>0</v>
      </c>
      <c r="I29" s="65">
        <f t="shared" si="4"/>
        <v>3653.3333333333335</v>
      </c>
      <c r="J29" s="65">
        <f t="shared" si="4"/>
        <v>0</v>
      </c>
      <c r="K29" s="65">
        <f t="shared" si="4"/>
        <v>0</v>
      </c>
      <c r="L29" s="65">
        <f t="shared" si="4"/>
        <v>0</v>
      </c>
      <c r="M29" s="65">
        <f t="shared" si="4"/>
        <v>0</v>
      </c>
      <c r="N29" s="65">
        <f t="shared" si="4"/>
        <v>3088</v>
      </c>
      <c r="O29" s="65">
        <f t="shared" si="4"/>
        <v>0</v>
      </c>
      <c r="P29" s="65">
        <f t="shared" si="4"/>
        <v>3088</v>
      </c>
      <c r="Q29" s="65">
        <f t="shared" si="4"/>
        <v>0</v>
      </c>
      <c r="R29" s="65">
        <f t="shared" si="4"/>
        <v>0</v>
      </c>
      <c r="S29" s="65">
        <f t="shared" si="4"/>
        <v>0</v>
      </c>
      <c r="T29" s="65">
        <f t="shared" si="4"/>
        <v>0</v>
      </c>
      <c r="U29" s="65">
        <f t="shared" si="4"/>
        <v>0</v>
      </c>
      <c r="V29" s="65">
        <f t="shared" si="4"/>
        <v>6231.666666666667</v>
      </c>
      <c r="W29" s="65">
        <f t="shared" si="4"/>
        <v>3088</v>
      </c>
    </row>
    <row r="30" spans="1:23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/>
      <c r="O30" s="152">
        <v>43647</v>
      </c>
      <c r="P30" s="154" t="s">
        <v>461</v>
      </c>
      <c r="Q30" s="154"/>
      <c r="R30" s="154"/>
      <c r="S30" s="154"/>
      <c r="T30" s="154"/>
      <c r="U30" s="154"/>
      <c r="V30" s="154"/>
      <c r="W30" s="154"/>
    </row>
    <row r="31" spans="1:23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>
        <v>9264</v>
      </c>
      <c r="Q31" s="157"/>
      <c r="R31" s="157"/>
      <c r="S31" s="157"/>
      <c r="T31" s="157"/>
      <c r="U31" s="157"/>
      <c r="V31" s="157"/>
      <c r="W31" s="157"/>
    </row>
    <row r="32" spans="1:23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72">
        <v>9264</v>
      </c>
      <c r="P32" s="157">
        <v>10960</v>
      </c>
      <c r="Q32" s="157"/>
      <c r="R32" s="157"/>
      <c r="S32" s="157"/>
      <c r="T32" s="157"/>
      <c r="U32" s="157"/>
      <c r="V32" s="157"/>
      <c r="W32" s="157"/>
    </row>
    <row r="33" spans="1:23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 t="s">
        <v>461</v>
      </c>
      <c r="P33" s="157" t="s">
        <v>462</v>
      </c>
      <c r="Q33" s="157"/>
      <c r="R33" s="157"/>
      <c r="S33" s="157"/>
      <c r="T33" s="157"/>
      <c r="U33" s="157"/>
      <c r="V33" s="157"/>
      <c r="W33" s="157"/>
    </row>
    <row r="34" spans="1:23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</row>
    <row r="35" spans="1:23" x14ac:dyDescent="0.35">
      <c r="A35" s="225" t="s">
        <v>167</v>
      </c>
      <c r="B35" s="225"/>
      <c r="C35" s="225">
        <f>IFERROR(C32-C31,"")</f>
        <v>0</v>
      </c>
      <c r="D35" s="225">
        <f t="shared" ref="D35:W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9264</v>
      </c>
      <c r="P35" s="225">
        <f t="shared" si="5"/>
        <v>1696</v>
      </c>
      <c r="Q35" s="225">
        <f t="shared" si="5"/>
        <v>0</v>
      </c>
      <c r="R35" s="225">
        <f t="shared" si="5"/>
        <v>0</v>
      </c>
      <c r="S35" s="225">
        <f t="shared" si="5"/>
        <v>0</v>
      </c>
      <c r="T35" s="225">
        <f t="shared" si="5"/>
        <v>0</v>
      </c>
      <c r="U35" s="225">
        <f t="shared" si="5"/>
        <v>0</v>
      </c>
      <c r="V35" s="225">
        <f t="shared" si="5"/>
        <v>0</v>
      </c>
      <c r="W35" s="225">
        <f t="shared" si="5"/>
        <v>0</v>
      </c>
    </row>
    <row r="36" spans="1:23" ht="16.399999999999999" customHeight="1" x14ac:dyDescent="0.35">
      <c r="A36" s="65" t="s">
        <v>2</v>
      </c>
      <c r="B36" s="65"/>
      <c r="C36" s="65">
        <f>AVERAGE(C28,C35,C21,C14)</f>
        <v>4673.75</v>
      </c>
      <c r="D36" s="65">
        <f t="shared" ref="D36:W36" si="6">AVERAGE(D28,D35,D21,D14)</f>
        <v>0</v>
      </c>
      <c r="E36" s="65">
        <f t="shared" si="6"/>
        <v>2316</v>
      </c>
      <c r="F36" s="65">
        <f t="shared" si="6"/>
        <v>0</v>
      </c>
      <c r="G36" s="65">
        <f t="shared" si="6"/>
        <v>0</v>
      </c>
      <c r="H36" s="65">
        <f t="shared" si="6"/>
        <v>0</v>
      </c>
      <c r="I36" s="65">
        <f t="shared" si="6"/>
        <v>2740</v>
      </c>
      <c r="J36" s="65">
        <f t="shared" si="6"/>
        <v>0</v>
      </c>
      <c r="K36" s="65">
        <f t="shared" si="6"/>
        <v>0</v>
      </c>
      <c r="L36" s="65">
        <f t="shared" si="6"/>
        <v>0</v>
      </c>
      <c r="M36" s="65">
        <f t="shared" si="6"/>
        <v>0</v>
      </c>
      <c r="N36" s="65">
        <f t="shared" si="6"/>
        <v>2316</v>
      </c>
      <c r="O36" s="65">
        <f t="shared" si="6"/>
        <v>2316</v>
      </c>
      <c r="P36" s="65">
        <f t="shared" si="6"/>
        <v>2740</v>
      </c>
      <c r="Q36" s="65">
        <f t="shared" si="6"/>
        <v>0</v>
      </c>
      <c r="R36" s="65">
        <f t="shared" si="6"/>
        <v>0</v>
      </c>
      <c r="S36" s="65">
        <f t="shared" si="6"/>
        <v>0</v>
      </c>
      <c r="T36" s="65">
        <f t="shared" si="6"/>
        <v>0</v>
      </c>
      <c r="U36" s="65">
        <f t="shared" si="6"/>
        <v>0</v>
      </c>
      <c r="V36" s="65">
        <f t="shared" si="6"/>
        <v>4673.75</v>
      </c>
      <c r="W36" s="65">
        <f t="shared" si="6"/>
        <v>2316</v>
      </c>
    </row>
    <row r="37" spans="1:23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52" t="s">
        <v>461</v>
      </c>
      <c r="P37" s="154"/>
      <c r="Q37" s="154"/>
      <c r="R37" s="154"/>
      <c r="S37" s="154"/>
      <c r="T37" s="154"/>
      <c r="U37" s="154"/>
      <c r="V37" s="154"/>
      <c r="W37" s="154"/>
    </row>
    <row r="38" spans="1:23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>
        <v>9264</v>
      </c>
      <c r="P38" s="157"/>
      <c r="Q38" s="157"/>
      <c r="R38" s="157"/>
      <c r="S38" s="157"/>
      <c r="T38" s="157"/>
      <c r="U38" s="157"/>
      <c r="V38" s="157"/>
      <c r="W38" s="157"/>
    </row>
    <row r="39" spans="1:23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>
        <v>10960</v>
      </c>
      <c r="P39" s="157"/>
      <c r="Q39" s="157"/>
      <c r="R39" s="157"/>
      <c r="S39" s="157"/>
      <c r="T39" s="157"/>
      <c r="U39" s="157"/>
      <c r="V39" s="157"/>
      <c r="W39" s="157"/>
    </row>
    <row r="40" spans="1:23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 t="s">
        <v>462</v>
      </c>
      <c r="P40" s="157"/>
      <c r="Q40" s="157"/>
      <c r="R40" s="157"/>
      <c r="S40" s="157"/>
      <c r="T40" s="157"/>
      <c r="U40" s="157"/>
      <c r="V40" s="157"/>
      <c r="W40" s="157"/>
    </row>
    <row r="41" spans="1:23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</row>
    <row r="42" spans="1:23" x14ac:dyDescent="0.35">
      <c r="A42" s="225" t="s">
        <v>167</v>
      </c>
      <c r="B42" s="225"/>
      <c r="C42" s="225">
        <f>IFERROR(C39-C38,"")</f>
        <v>0</v>
      </c>
      <c r="D42" s="225">
        <f t="shared" ref="D42:W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1696</v>
      </c>
      <c r="P42" s="225">
        <f t="shared" si="7"/>
        <v>0</v>
      </c>
      <c r="Q42" s="225">
        <f t="shared" si="7"/>
        <v>0</v>
      </c>
      <c r="R42" s="225">
        <f t="shared" si="7"/>
        <v>0</v>
      </c>
      <c r="S42" s="225">
        <f t="shared" si="7"/>
        <v>0</v>
      </c>
      <c r="T42" s="225">
        <f t="shared" si="7"/>
        <v>0</v>
      </c>
      <c r="U42" s="225">
        <f t="shared" si="7"/>
        <v>0</v>
      </c>
      <c r="V42" s="225">
        <f t="shared" si="7"/>
        <v>0</v>
      </c>
      <c r="W42" s="225">
        <f t="shared" si="7"/>
        <v>0</v>
      </c>
    </row>
    <row r="43" spans="1:23" ht="16.399999999999999" customHeight="1" x14ac:dyDescent="0.35">
      <c r="A43" s="65" t="s">
        <v>2</v>
      </c>
      <c r="B43" s="65"/>
      <c r="C43" s="65">
        <f>AVERAGE(C35,C42,C28,C21,C14)</f>
        <v>3739</v>
      </c>
      <c r="D43" s="65">
        <f t="shared" ref="D43:W43" si="8">AVERAGE(D35,D42,D28,D21,D14)</f>
        <v>0</v>
      </c>
      <c r="E43" s="65">
        <f t="shared" si="8"/>
        <v>1852.8</v>
      </c>
      <c r="F43" s="65">
        <f t="shared" si="8"/>
        <v>0</v>
      </c>
      <c r="G43" s="65">
        <f t="shared" si="8"/>
        <v>0</v>
      </c>
      <c r="H43" s="65">
        <f t="shared" si="8"/>
        <v>0</v>
      </c>
      <c r="I43" s="65">
        <f t="shared" si="8"/>
        <v>2192</v>
      </c>
      <c r="J43" s="65">
        <f t="shared" si="8"/>
        <v>0</v>
      </c>
      <c r="K43" s="65">
        <f t="shared" si="8"/>
        <v>0</v>
      </c>
      <c r="L43" s="65">
        <f t="shared" si="8"/>
        <v>0</v>
      </c>
      <c r="M43" s="65">
        <f t="shared" si="8"/>
        <v>0</v>
      </c>
      <c r="N43" s="65">
        <f t="shared" si="8"/>
        <v>1852.8</v>
      </c>
      <c r="O43" s="65">
        <f t="shared" si="8"/>
        <v>2192</v>
      </c>
      <c r="P43" s="65">
        <f t="shared" si="8"/>
        <v>2192</v>
      </c>
      <c r="Q43" s="65">
        <f t="shared" si="8"/>
        <v>0</v>
      </c>
      <c r="R43" s="65">
        <f t="shared" si="8"/>
        <v>0</v>
      </c>
      <c r="S43" s="65">
        <f t="shared" si="8"/>
        <v>0</v>
      </c>
      <c r="T43" s="65">
        <f t="shared" si="8"/>
        <v>0</v>
      </c>
      <c r="U43" s="65">
        <f t="shared" si="8"/>
        <v>0</v>
      </c>
      <c r="V43" s="65">
        <f t="shared" si="8"/>
        <v>3739</v>
      </c>
      <c r="W43" s="65">
        <f t="shared" si="8"/>
        <v>1852.8</v>
      </c>
    </row>
    <row r="44" spans="1:23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/>
      <c r="P44" s="154"/>
      <c r="Q44" s="154"/>
      <c r="R44" s="154"/>
      <c r="S44" s="154"/>
      <c r="T44" s="154"/>
      <c r="U44" s="154"/>
      <c r="V44" s="154"/>
      <c r="W44" s="154"/>
    </row>
    <row r="45" spans="1:23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</row>
    <row r="46" spans="1:23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</row>
    <row r="47" spans="1:23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</row>
    <row r="48" spans="1:23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</row>
    <row r="49" spans="1:23" x14ac:dyDescent="0.35">
      <c r="A49" s="225" t="s">
        <v>167</v>
      </c>
      <c r="B49" s="225"/>
      <c r="C49" s="225">
        <f>IFERROR(C46-C45,"")</f>
        <v>0</v>
      </c>
      <c r="D49" s="225">
        <f t="shared" ref="D49:W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  <c r="V49" s="225">
        <f t="shared" si="9"/>
        <v>0</v>
      </c>
      <c r="W49" s="225">
        <f t="shared" si="9"/>
        <v>0</v>
      </c>
    </row>
    <row r="50" spans="1:23" ht="16.399999999999999" customHeight="1" x14ac:dyDescent="0.35">
      <c r="A50" s="65" t="s">
        <v>2</v>
      </c>
      <c r="B50" s="65"/>
      <c r="C50" s="65">
        <f>AVERAGE(C42,C49,C35,C28,C21,C14)</f>
        <v>3115.8333333333335</v>
      </c>
      <c r="D50" s="65">
        <f t="shared" ref="D50:W50" si="10">AVERAGE(D42,D49,D35,D28,D21,D14)</f>
        <v>0</v>
      </c>
      <c r="E50" s="65">
        <f t="shared" si="10"/>
        <v>1544</v>
      </c>
      <c r="F50" s="65">
        <f t="shared" si="10"/>
        <v>0</v>
      </c>
      <c r="G50" s="65">
        <f t="shared" si="10"/>
        <v>0</v>
      </c>
      <c r="H50" s="65">
        <f t="shared" si="10"/>
        <v>0</v>
      </c>
      <c r="I50" s="65">
        <f t="shared" si="10"/>
        <v>1826.6666666666667</v>
      </c>
      <c r="J50" s="65">
        <f t="shared" si="10"/>
        <v>0</v>
      </c>
      <c r="K50" s="65">
        <f t="shared" si="10"/>
        <v>0</v>
      </c>
      <c r="L50" s="65">
        <f t="shared" si="10"/>
        <v>0</v>
      </c>
      <c r="M50" s="65">
        <f t="shared" si="10"/>
        <v>0</v>
      </c>
      <c r="N50" s="65">
        <f t="shared" si="10"/>
        <v>1544</v>
      </c>
      <c r="O50" s="65">
        <f t="shared" si="10"/>
        <v>1826.6666666666667</v>
      </c>
      <c r="P50" s="65">
        <f t="shared" si="10"/>
        <v>1826.6666666666667</v>
      </c>
      <c r="Q50" s="65">
        <f t="shared" si="10"/>
        <v>0</v>
      </c>
      <c r="R50" s="65">
        <f t="shared" si="10"/>
        <v>0</v>
      </c>
      <c r="S50" s="65">
        <f t="shared" si="10"/>
        <v>0</v>
      </c>
      <c r="T50" s="65">
        <f t="shared" si="10"/>
        <v>0</v>
      </c>
      <c r="U50" s="65">
        <f t="shared" si="10"/>
        <v>0</v>
      </c>
      <c r="V50" s="65">
        <f t="shared" si="10"/>
        <v>3115.8333333333335</v>
      </c>
      <c r="W50" s="65">
        <f t="shared" si="10"/>
        <v>1544</v>
      </c>
    </row>
    <row r="51" spans="1:23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/>
      <c r="P51" s="154"/>
      <c r="Q51" s="154"/>
      <c r="R51" s="154"/>
      <c r="S51" s="154"/>
      <c r="T51" s="154"/>
      <c r="U51" s="154"/>
      <c r="V51" s="154"/>
      <c r="W51" s="154"/>
    </row>
    <row r="52" spans="1:23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</row>
    <row r="53" spans="1:23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</row>
    <row r="54" spans="1:23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</row>
    <row r="55" spans="1:23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</row>
    <row r="56" spans="1:23" x14ac:dyDescent="0.35">
      <c r="A56" s="225" t="s">
        <v>167</v>
      </c>
      <c r="B56" s="225"/>
      <c r="C56" s="225">
        <f>IFERROR(C53-C52,"")</f>
        <v>0</v>
      </c>
      <c r="D56" s="225">
        <f t="shared" ref="D56:W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0</v>
      </c>
      <c r="P56" s="225">
        <f t="shared" si="11"/>
        <v>0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  <c r="V56" s="225">
        <f t="shared" si="11"/>
        <v>0</v>
      </c>
      <c r="W56" s="225">
        <f t="shared" si="11"/>
        <v>0</v>
      </c>
    </row>
    <row r="57" spans="1:23" ht="16.399999999999999" customHeight="1" x14ac:dyDescent="0.35">
      <c r="A57" s="65" t="s">
        <v>2</v>
      </c>
      <c r="B57" s="65"/>
      <c r="C57" s="65">
        <f>AVERAGE(C49,C56,C42,C35,C28,C21,C14)</f>
        <v>2670.7142857142858</v>
      </c>
      <c r="D57" s="65">
        <f t="shared" ref="D57:W57" si="12">AVERAGE(D49,D56,D42,D35,D28,D21,D14)</f>
        <v>0</v>
      </c>
      <c r="E57" s="65">
        <f t="shared" si="12"/>
        <v>1323.4285714285713</v>
      </c>
      <c r="F57" s="65">
        <f t="shared" si="12"/>
        <v>0</v>
      </c>
      <c r="G57" s="65">
        <f t="shared" si="12"/>
        <v>0</v>
      </c>
      <c r="H57" s="65">
        <f t="shared" si="12"/>
        <v>0</v>
      </c>
      <c r="I57" s="65">
        <f t="shared" si="12"/>
        <v>1565.7142857142858</v>
      </c>
      <c r="J57" s="65">
        <f t="shared" si="12"/>
        <v>0</v>
      </c>
      <c r="K57" s="65">
        <f t="shared" si="12"/>
        <v>0</v>
      </c>
      <c r="L57" s="65">
        <f t="shared" si="12"/>
        <v>0</v>
      </c>
      <c r="M57" s="65">
        <f t="shared" si="12"/>
        <v>0</v>
      </c>
      <c r="N57" s="65">
        <f t="shared" si="12"/>
        <v>1323.4285714285713</v>
      </c>
      <c r="O57" s="65">
        <f t="shared" si="12"/>
        <v>1565.7142857142858</v>
      </c>
      <c r="P57" s="65">
        <f t="shared" si="12"/>
        <v>1565.7142857142858</v>
      </c>
      <c r="Q57" s="65">
        <f t="shared" si="12"/>
        <v>0</v>
      </c>
      <c r="R57" s="65">
        <f t="shared" si="12"/>
        <v>0</v>
      </c>
      <c r="S57" s="65">
        <f t="shared" si="12"/>
        <v>0</v>
      </c>
      <c r="T57" s="65">
        <f t="shared" si="12"/>
        <v>0</v>
      </c>
      <c r="U57" s="65">
        <f t="shared" si="12"/>
        <v>0</v>
      </c>
      <c r="V57" s="65">
        <f t="shared" si="12"/>
        <v>2670.7142857142858</v>
      </c>
      <c r="W57" s="65">
        <f t="shared" si="12"/>
        <v>1323.4285714285713</v>
      </c>
    </row>
    <row r="58" spans="1:23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/>
      <c r="P58" s="154"/>
      <c r="Q58" s="154"/>
      <c r="R58" s="154"/>
      <c r="S58" s="154"/>
      <c r="T58" s="154"/>
      <c r="U58" s="154"/>
      <c r="V58" s="154"/>
      <c r="W58" s="154"/>
    </row>
    <row r="59" spans="1:23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</row>
    <row r="60" spans="1:23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</row>
    <row r="61" spans="1:23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</row>
    <row r="62" spans="1:23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</row>
    <row r="63" spans="1:23" x14ac:dyDescent="0.35">
      <c r="A63" s="225" t="s">
        <v>167</v>
      </c>
      <c r="B63" s="225"/>
      <c r="C63" s="225">
        <f>IFERROR(C60-C59,"")</f>
        <v>0</v>
      </c>
      <c r="D63" s="225">
        <f t="shared" ref="D63:W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  <c r="V63" s="225">
        <f t="shared" si="13"/>
        <v>0</v>
      </c>
      <c r="W63" s="225">
        <f t="shared" si="13"/>
        <v>0</v>
      </c>
    </row>
    <row r="64" spans="1:23" ht="16.399999999999999" customHeight="1" x14ac:dyDescent="0.35">
      <c r="A64" s="65" t="s">
        <v>2</v>
      </c>
      <c r="B64" s="65"/>
      <c r="C64" s="65">
        <f>AVERAGE(C56,C63,C49,C42,C35,C28,C21,C14)</f>
        <v>2336.875</v>
      </c>
      <c r="D64" s="65">
        <f t="shared" ref="D64:W64" si="14">AVERAGE(D56,D63,D49,D42,D35,D28,D21,D14)</f>
        <v>0</v>
      </c>
      <c r="E64" s="65">
        <f t="shared" si="14"/>
        <v>1158</v>
      </c>
      <c r="F64" s="65">
        <f t="shared" si="14"/>
        <v>0</v>
      </c>
      <c r="G64" s="65">
        <f t="shared" si="14"/>
        <v>0</v>
      </c>
      <c r="H64" s="65">
        <f t="shared" si="14"/>
        <v>0</v>
      </c>
      <c r="I64" s="65">
        <f t="shared" si="14"/>
        <v>1370</v>
      </c>
      <c r="J64" s="65">
        <f t="shared" si="14"/>
        <v>0</v>
      </c>
      <c r="K64" s="65">
        <f t="shared" si="14"/>
        <v>0</v>
      </c>
      <c r="L64" s="65">
        <f t="shared" si="14"/>
        <v>0</v>
      </c>
      <c r="M64" s="65">
        <f t="shared" si="14"/>
        <v>0</v>
      </c>
      <c r="N64" s="65">
        <f t="shared" si="14"/>
        <v>1158</v>
      </c>
      <c r="O64" s="65">
        <f t="shared" si="14"/>
        <v>1370</v>
      </c>
      <c r="P64" s="65">
        <f t="shared" si="14"/>
        <v>1370</v>
      </c>
      <c r="Q64" s="65">
        <f t="shared" si="14"/>
        <v>0</v>
      </c>
      <c r="R64" s="65">
        <f t="shared" si="14"/>
        <v>0</v>
      </c>
      <c r="S64" s="65">
        <f t="shared" si="14"/>
        <v>0</v>
      </c>
      <c r="T64" s="65">
        <f t="shared" si="14"/>
        <v>0</v>
      </c>
      <c r="U64" s="65">
        <f t="shared" si="14"/>
        <v>0</v>
      </c>
      <c r="V64" s="65">
        <f t="shared" si="14"/>
        <v>2336.875</v>
      </c>
      <c r="W64" s="65">
        <f t="shared" si="14"/>
        <v>1158</v>
      </c>
    </row>
  </sheetData>
  <sheetProtection algorithmName="SHA-512" hashValue="0nQo4uixUYGiJMcmetZKnuLzOt8e/4BGlUFAgXZM2iKn9smsDQHoxGwcIREOI45gcsGMKNdonC7l3aW2Bkl6tQ==" saltValue="vNKotRXJcRGc7jwSBTpg/Q==" spinCount="100000" sheet="1" objects="1" scenarios="1"/>
  <autoFilter ref="A2:W64" xr:uid="{00000000-0009-0000-0000-000017000000}"/>
  <mergeCells count="2">
    <mergeCell ref="A7:B7"/>
    <mergeCell ref="A8:B8"/>
  </mergeCells>
  <pageMargins left="0.7" right="0.7" top="0.75" bottom="0.75" header="0.3" footer="0.3"/>
  <pageSetup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3"/>
  <dimension ref="A1:V64"/>
  <sheetViews>
    <sheetView workbookViewId="0">
      <selection activeCell="E19" sqref="E19"/>
    </sheetView>
  </sheetViews>
  <sheetFormatPr defaultColWidth="8.81640625" defaultRowHeight="14.5" x14ac:dyDescent="0.35"/>
  <cols>
    <col min="1" max="1" width="16.1796875" customWidth="1"/>
    <col min="2" max="2" width="6.1796875" customWidth="1"/>
    <col min="3" max="3" width="21.54296875" bestFit="1" customWidth="1"/>
    <col min="4" max="4" width="17.1796875" bestFit="1" customWidth="1"/>
    <col min="5" max="5" width="2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0" width="29.81640625" customWidth="1"/>
    <col min="11" max="11" width="18.81640625" customWidth="1"/>
    <col min="12" max="12" width="17.81640625" customWidth="1"/>
    <col min="13" max="13" width="17.1796875" bestFit="1" customWidth="1"/>
    <col min="14" max="16" width="17.1796875" customWidth="1"/>
    <col min="17" max="17" width="17.1796875" bestFit="1" customWidth="1"/>
    <col min="18" max="18" width="17.81640625" bestFit="1" customWidth="1"/>
    <col min="19" max="19" width="17.1796875" bestFit="1" customWidth="1"/>
    <col min="20" max="21" width="17.1796875" customWidth="1"/>
    <col min="22" max="22" width="17.1796875" bestFit="1" customWidth="1"/>
  </cols>
  <sheetData>
    <row r="1" spans="1:22" ht="15" thickBot="1" x14ac:dyDescent="0.4"/>
    <row r="2" spans="1:22" x14ac:dyDescent="0.35">
      <c r="E2" s="130" t="s">
        <v>195</v>
      </c>
      <c r="F2" s="131"/>
      <c r="G2" s="131" t="s">
        <v>104</v>
      </c>
      <c r="H2" s="131"/>
      <c r="I2" s="132"/>
    </row>
    <row r="3" spans="1:22" x14ac:dyDescent="0.35">
      <c r="E3" s="133"/>
      <c r="F3" s="134" t="s">
        <v>417</v>
      </c>
      <c r="G3" s="135"/>
      <c r="H3" s="134"/>
      <c r="I3" s="136"/>
    </row>
    <row r="4" spans="1:22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22" ht="30.65" customHeight="1" x14ac:dyDescent="0.35">
      <c r="A5" s="141" t="s">
        <v>463</v>
      </c>
      <c r="B5" t="s">
        <v>464</v>
      </c>
    </row>
    <row r="6" spans="1:22" ht="28.4" customHeight="1" x14ac:dyDescent="0.35">
      <c r="A6" s="142" t="s">
        <v>200</v>
      </c>
      <c r="B6" s="169"/>
      <c r="C6" s="142" t="s">
        <v>420</v>
      </c>
      <c r="D6" s="142" t="s">
        <v>421</v>
      </c>
      <c r="E6" s="142" t="s">
        <v>422</v>
      </c>
      <c r="F6" s="142" t="s">
        <v>423</v>
      </c>
      <c r="G6" s="143" t="s">
        <v>424</v>
      </c>
      <c r="H6" s="143" t="s">
        <v>425</v>
      </c>
      <c r="I6" s="143" t="s">
        <v>426</v>
      </c>
      <c r="J6" s="142" t="s">
        <v>427</v>
      </c>
      <c r="K6" s="142" t="s">
        <v>428</v>
      </c>
      <c r="L6" s="142" t="s">
        <v>348</v>
      </c>
      <c r="M6" s="142" t="s">
        <v>429</v>
      </c>
      <c r="N6" s="142" t="s">
        <v>430</v>
      </c>
      <c r="O6" s="142" t="s">
        <v>431</v>
      </c>
      <c r="P6" s="142" t="s">
        <v>432</v>
      </c>
      <c r="Q6" s="142" t="s">
        <v>433</v>
      </c>
      <c r="R6" s="142" t="s">
        <v>434</v>
      </c>
      <c r="S6" s="142" t="s">
        <v>435</v>
      </c>
      <c r="T6" s="142" t="s">
        <v>436</v>
      </c>
      <c r="U6" s="142" t="s">
        <v>437</v>
      </c>
      <c r="V6" s="144" t="s">
        <v>438</v>
      </c>
    </row>
    <row r="7" spans="1:22" x14ac:dyDescent="0.35">
      <c r="A7" s="252" t="s">
        <v>137</v>
      </c>
      <c r="B7" s="252"/>
      <c r="C7" s="145" t="s">
        <v>140</v>
      </c>
      <c r="D7" s="145" t="s">
        <v>141</v>
      </c>
      <c r="E7" s="145" t="s">
        <v>214</v>
      </c>
      <c r="F7" s="145" t="s">
        <v>215</v>
      </c>
      <c r="G7" s="145" t="s">
        <v>142</v>
      </c>
      <c r="H7" s="145" t="s">
        <v>143</v>
      </c>
      <c r="I7" s="145" t="s">
        <v>144</v>
      </c>
      <c r="J7" s="145" t="s">
        <v>145</v>
      </c>
      <c r="K7" s="145" t="s">
        <v>146</v>
      </c>
      <c r="L7" s="145" t="s">
        <v>147</v>
      </c>
      <c r="M7" s="145" t="s">
        <v>439</v>
      </c>
      <c r="N7" s="145" t="s">
        <v>149</v>
      </c>
      <c r="O7" s="145" t="s">
        <v>150</v>
      </c>
      <c r="P7" s="145" t="s">
        <v>151</v>
      </c>
      <c r="Q7" s="145" t="s">
        <v>153</v>
      </c>
      <c r="R7" s="145" t="s">
        <v>217</v>
      </c>
      <c r="S7" s="145" t="s">
        <v>218</v>
      </c>
      <c r="T7" s="145" t="s">
        <v>156</v>
      </c>
      <c r="U7" s="145" t="s">
        <v>440</v>
      </c>
      <c r="V7" s="145" t="s">
        <v>359</v>
      </c>
    </row>
    <row r="8" spans="1:22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2</v>
      </c>
      <c r="K8" s="147">
        <v>1</v>
      </c>
      <c r="L8" s="147">
        <v>2</v>
      </c>
      <c r="M8" s="147">
        <v>1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4</v>
      </c>
      <c r="T8" s="147">
        <v>1</v>
      </c>
      <c r="U8" s="147">
        <v>1</v>
      </c>
      <c r="V8" s="147">
        <v>1</v>
      </c>
    </row>
    <row r="9" spans="1:22" x14ac:dyDescent="0.35">
      <c r="A9" s="150" t="s">
        <v>159</v>
      </c>
      <c r="B9" s="151"/>
      <c r="C9" s="182" t="s">
        <v>225</v>
      </c>
      <c r="D9" s="152"/>
      <c r="E9" s="182" t="s">
        <v>225</v>
      </c>
      <c r="F9" s="152"/>
      <c r="G9" s="152"/>
      <c r="H9" s="152"/>
      <c r="I9" s="182" t="s">
        <v>225</v>
      </c>
      <c r="J9" s="182" t="s">
        <v>225</v>
      </c>
      <c r="K9" s="154"/>
      <c r="L9" s="152"/>
      <c r="M9" s="152"/>
      <c r="N9" s="152"/>
      <c r="O9" s="182" t="s">
        <v>225</v>
      </c>
      <c r="P9" s="182" t="s">
        <v>225</v>
      </c>
      <c r="Q9" s="152"/>
      <c r="R9" s="152"/>
      <c r="S9" s="152"/>
      <c r="T9" s="152"/>
      <c r="U9" s="152"/>
      <c r="V9" s="182" t="s">
        <v>225</v>
      </c>
    </row>
    <row r="10" spans="1:22" x14ac:dyDescent="0.35">
      <c r="A10" s="155" t="s">
        <v>161</v>
      </c>
      <c r="B10" s="156" t="s">
        <v>162</v>
      </c>
      <c r="C10" s="174">
        <v>0</v>
      </c>
      <c r="D10" s="157"/>
      <c r="E10" s="174">
        <v>0</v>
      </c>
      <c r="F10" s="157"/>
      <c r="G10" s="157"/>
      <c r="H10" s="157"/>
      <c r="I10" s="174">
        <v>0</v>
      </c>
      <c r="J10" s="174">
        <v>0</v>
      </c>
      <c r="K10" s="157"/>
      <c r="L10" s="157"/>
      <c r="M10" s="157"/>
      <c r="N10" s="157"/>
      <c r="O10" s="174">
        <v>0</v>
      </c>
      <c r="P10" s="174">
        <v>0</v>
      </c>
      <c r="Q10" s="157"/>
      <c r="R10" s="157"/>
      <c r="S10" s="157"/>
      <c r="T10" s="157"/>
      <c r="U10" s="157"/>
      <c r="V10" s="174">
        <v>0</v>
      </c>
    </row>
    <row r="11" spans="1:22" x14ac:dyDescent="0.35">
      <c r="A11" s="155" t="s">
        <v>161</v>
      </c>
      <c r="B11" s="156" t="s">
        <v>163</v>
      </c>
      <c r="C11" s="174">
        <v>1517</v>
      </c>
      <c r="D11" s="157"/>
      <c r="E11" s="174">
        <v>1517</v>
      </c>
      <c r="F11" s="157"/>
      <c r="G11" s="157"/>
      <c r="H11" s="157"/>
      <c r="I11" s="174">
        <v>1517</v>
      </c>
      <c r="J11" s="174">
        <v>1517</v>
      </c>
      <c r="K11" s="157"/>
      <c r="L11" s="157"/>
      <c r="M11" s="157"/>
      <c r="N11" s="157">
        <v>11747</v>
      </c>
      <c r="O11" s="172">
        <v>2489</v>
      </c>
      <c r="P11" s="172">
        <v>2489</v>
      </c>
      <c r="Q11" s="157"/>
      <c r="R11" s="157">
        <v>11747</v>
      </c>
      <c r="S11" s="157"/>
      <c r="T11" s="157">
        <v>11747</v>
      </c>
      <c r="U11" s="157"/>
      <c r="V11" s="172">
        <v>2133</v>
      </c>
    </row>
    <row r="12" spans="1:22" x14ac:dyDescent="0.35">
      <c r="A12" s="155" t="s">
        <v>164</v>
      </c>
      <c r="B12" s="156"/>
      <c r="C12" s="183">
        <v>42933</v>
      </c>
      <c r="D12" s="157"/>
      <c r="E12" s="183">
        <v>42933</v>
      </c>
      <c r="F12" s="157"/>
      <c r="G12" s="157"/>
      <c r="H12" s="157"/>
      <c r="I12" s="183">
        <v>42933</v>
      </c>
      <c r="J12" s="183">
        <v>42933</v>
      </c>
      <c r="K12" s="157"/>
      <c r="L12" s="157"/>
      <c r="M12" s="157"/>
      <c r="N12" s="157" t="s">
        <v>465</v>
      </c>
      <c r="O12" s="176">
        <v>43008</v>
      </c>
      <c r="P12" s="176">
        <v>43008</v>
      </c>
      <c r="Q12" s="157"/>
      <c r="R12" s="157" t="s">
        <v>465</v>
      </c>
      <c r="S12" s="157"/>
      <c r="T12" s="157" t="s">
        <v>465</v>
      </c>
      <c r="U12" s="157"/>
      <c r="V12" s="178">
        <v>42975</v>
      </c>
    </row>
    <row r="13" spans="1:22" ht="34.4" customHeight="1" x14ac:dyDescent="0.35">
      <c r="A13" s="160" t="s">
        <v>165</v>
      </c>
      <c r="B13" s="161"/>
      <c r="C13" s="162" t="s">
        <v>166</v>
      </c>
      <c r="D13" s="157"/>
      <c r="E13" s="162" t="s">
        <v>166</v>
      </c>
      <c r="F13" s="157"/>
      <c r="G13" s="157"/>
      <c r="H13" s="157"/>
      <c r="I13" s="162" t="s">
        <v>166</v>
      </c>
      <c r="J13" s="162" t="s">
        <v>166</v>
      </c>
      <c r="K13" s="157"/>
      <c r="L13" s="157"/>
      <c r="M13" s="157"/>
      <c r="N13" s="157"/>
      <c r="O13" s="162" t="s">
        <v>166</v>
      </c>
      <c r="P13" s="162" t="s">
        <v>166</v>
      </c>
      <c r="Q13" s="157"/>
      <c r="R13" s="157"/>
      <c r="S13" s="157"/>
      <c r="T13" s="157"/>
      <c r="U13" s="157"/>
      <c r="V13" s="162" t="s">
        <v>166</v>
      </c>
    </row>
    <row r="14" spans="1:22" x14ac:dyDescent="0.35">
      <c r="A14" s="225" t="s">
        <v>167</v>
      </c>
      <c r="B14" s="225"/>
      <c r="C14" s="225">
        <f>IFERROR(C11-C10,"")</f>
        <v>1517</v>
      </c>
      <c r="D14" s="225">
        <f t="shared" ref="D14:V14" si="0">IFERROR(D11-D10,"")</f>
        <v>0</v>
      </c>
      <c r="E14" s="225">
        <f t="shared" si="0"/>
        <v>1517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1517</v>
      </c>
      <c r="J14" s="225">
        <f t="shared" si="0"/>
        <v>1517</v>
      </c>
      <c r="K14" s="225">
        <f t="shared" si="0"/>
        <v>0</v>
      </c>
      <c r="L14" s="225">
        <f t="shared" si="0"/>
        <v>0</v>
      </c>
      <c r="M14" s="225">
        <f t="shared" si="0"/>
        <v>0</v>
      </c>
      <c r="N14" s="225">
        <f t="shared" si="0"/>
        <v>11747</v>
      </c>
      <c r="O14" s="225">
        <f t="shared" si="0"/>
        <v>2489</v>
      </c>
      <c r="P14" s="225">
        <f t="shared" si="0"/>
        <v>2489</v>
      </c>
      <c r="Q14" s="225">
        <f t="shared" si="0"/>
        <v>0</v>
      </c>
      <c r="R14" s="225">
        <f t="shared" si="0"/>
        <v>11747</v>
      </c>
      <c r="S14" s="225">
        <f t="shared" si="0"/>
        <v>0</v>
      </c>
      <c r="T14" s="225">
        <f t="shared" si="0"/>
        <v>11747</v>
      </c>
      <c r="U14" s="225">
        <f t="shared" si="0"/>
        <v>0</v>
      </c>
      <c r="V14" s="225">
        <f t="shared" si="0"/>
        <v>2133</v>
      </c>
    </row>
    <row r="15" spans="1:22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</row>
    <row r="16" spans="1:22" x14ac:dyDescent="0.35">
      <c r="A16" s="150" t="s">
        <v>159</v>
      </c>
      <c r="B16" s="151"/>
      <c r="C16" s="183">
        <v>42933</v>
      </c>
      <c r="D16" s="154"/>
      <c r="E16" s="152">
        <v>42933</v>
      </c>
      <c r="F16" s="154"/>
      <c r="G16" s="154"/>
      <c r="H16" s="154"/>
      <c r="I16" s="183">
        <v>42933</v>
      </c>
      <c r="J16" s="183">
        <v>42933</v>
      </c>
      <c r="K16" s="154"/>
      <c r="L16" s="154"/>
      <c r="M16" s="154"/>
      <c r="N16" s="154"/>
      <c r="O16" s="152">
        <v>43008</v>
      </c>
      <c r="P16" s="152">
        <v>43008</v>
      </c>
      <c r="Q16" s="154"/>
      <c r="R16" s="152"/>
      <c r="S16" s="152"/>
      <c r="T16" s="152"/>
      <c r="U16" s="152"/>
      <c r="V16" s="178">
        <v>42975</v>
      </c>
    </row>
    <row r="17" spans="1:22" x14ac:dyDescent="0.35">
      <c r="A17" s="155" t="s">
        <v>161</v>
      </c>
      <c r="B17" s="156" t="s">
        <v>162</v>
      </c>
      <c r="C17" s="174">
        <v>1517</v>
      </c>
      <c r="D17" s="157"/>
      <c r="E17" s="157">
        <v>1517</v>
      </c>
      <c r="F17" s="157"/>
      <c r="G17" s="157"/>
      <c r="H17" s="157"/>
      <c r="I17" s="174">
        <v>1517</v>
      </c>
      <c r="J17" s="174">
        <v>1517</v>
      </c>
      <c r="K17" s="157"/>
      <c r="L17" s="157"/>
      <c r="M17" s="157"/>
      <c r="N17" s="157"/>
      <c r="O17" s="157">
        <v>2489</v>
      </c>
      <c r="P17" s="157">
        <v>2489</v>
      </c>
      <c r="Q17" s="157"/>
      <c r="R17" s="157"/>
      <c r="S17" s="157"/>
      <c r="T17" s="157"/>
      <c r="U17" s="157"/>
      <c r="V17" s="172">
        <v>2133</v>
      </c>
    </row>
    <row r="18" spans="1:22" x14ac:dyDescent="0.35">
      <c r="A18" s="155" t="s">
        <v>161</v>
      </c>
      <c r="B18" s="156" t="s">
        <v>163</v>
      </c>
      <c r="C18" s="175">
        <v>4926</v>
      </c>
      <c r="D18" s="157"/>
      <c r="E18" s="157">
        <v>11747</v>
      </c>
      <c r="F18" s="157"/>
      <c r="G18" s="157"/>
      <c r="H18" s="157"/>
      <c r="I18" s="172">
        <v>2489</v>
      </c>
      <c r="J18" s="172">
        <v>2489</v>
      </c>
      <c r="K18" s="157"/>
      <c r="L18" s="157"/>
      <c r="M18" s="157"/>
      <c r="N18" s="157"/>
      <c r="O18" s="157">
        <v>11747</v>
      </c>
      <c r="P18" s="157">
        <v>11747</v>
      </c>
      <c r="Q18" s="157"/>
      <c r="R18" s="157"/>
      <c r="S18" s="157"/>
      <c r="T18" s="157"/>
      <c r="U18" s="157"/>
      <c r="V18" s="172">
        <v>2489</v>
      </c>
    </row>
    <row r="19" spans="1:22" x14ac:dyDescent="0.35">
      <c r="A19" s="155" t="s">
        <v>164</v>
      </c>
      <c r="B19" s="156"/>
      <c r="C19" s="180">
        <v>43409</v>
      </c>
      <c r="D19" s="157"/>
      <c r="E19" s="157" t="s">
        <v>465</v>
      </c>
      <c r="F19" s="157"/>
      <c r="G19" s="157"/>
      <c r="H19" s="157"/>
      <c r="I19" s="176">
        <v>43008</v>
      </c>
      <c r="J19" s="176">
        <v>43008</v>
      </c>
      <c r="K19" s="157"/>
      <c r="L19" s="157"/>
      <c r="M19" s="157"/>
      <c r="N19" s="157"/>
      <c r="O19" s="157" t="s">
        <v>465</v>
      </c>
      <c r="P19" s="157" t="s">
        <v>465</v>
      </c>
      <c r="Q19" s="157"/>
      <c r="R19" s="157"/>
      <c r="S19" s="157"/>
      <c r="T19" s="157"/>
      <c r="U19" s="157"/>
      <c r="V19" s="176">
        <v>43008</v>
      </c>
    </row>
    <row r="20" spans="1:22" ht="29" x14ac:dyDescent="0.35">
      <c r="A20" s="160" t="s">
        <v>165</v>
      </c>
      <c r="B20" s="167"/>
      <c r="C20" s="162" t="s">
        <v>166</v>
      </c>
      <c r="D20" s="157"/>
      <c r="E20" s="157"/>
      <c r="F20" s="157"/>
      <c r="G20" s="157"/>
      <c r="H20" s="157"/>
      <c r="I20" s="162" t="s">
        <v>166</v>
      </c>
      <c r="J20" s="162" t="s">
        <v>166</v>
      </c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62" t="s">
        <v>166</v>
      </c>
    </row>
    <row r="21" spans="1:22" x14ac:dyDescent="0.35">
      <c r="A21" s="225" t="s">
        <v>167</v>
      </c>
      <c r="B21" s="225"/>
      <c r="C21" s="225">
        <f>IFERROR(C18-C17,"")</f>
        <v>3409</v>
      </c>
      <c r="D21" s="225">
        <f t="shared" ref="D21:V21" si="1">IFERROR(D18-D17,"")</f>
        <v>0</v>
      </c>
      <c r="E21" s="225">
        <f t="shared" si="1"/>
        <v>10230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972</v>
      </c>
      <c r="J21" s="225">
        <f t="shared" si="1"/>
        <v>972</v>
      </c>
      <c r="K21" s="225">
        <f t="shared" si="1"/>
        <v>0</v>
      </c>
      <c r="L21" s="225">
        <f t="shared" si="1"/>
        <v>0</v>
      </c>
      <c r="M21" s="225">
        <f t="shared" si="1"/>
        <v>0</v>
      </c>
      <c r="N21" s="225">
        <f t="shared" si="1"/>
        <v>0</v>
      </c>
      <c r="O21" s="225">
        <f t="shared" si="1"/>
        <v>9258</v>
      </c>
      <c r="P21" s="225">
        <f t="shared" si="1"/>
        <v>9258</v>
      </c>
      <c r="Q21" s="225">
        <f t="shared" si="1"/>
        <v>0</v>
      </c>
      <c r="R21" s="225">
        <f t="shared" si="1"/>
        <v>0</v>
      </c>
      <c r="S21" s="225">
        <f t="shared" si="1"/>
        <v>0</v>
      </c>
      <c r="T21" s="225">
        <f t="shared" si="1"/>
        <v>0</v>
      </c>
      <c r="U21" s="225">
        <f t="shared" si="1"/>
        <v>0</v>
      </c>
      <c r="V21" s="225">
        <f t="shared" si="1"/>
        <v>356</v>
      </c>
    </row>
    <row r="22" spans="1:22" ht="16.399999999999999" customHeight="1" x14ac:dyDescent="0.35">
      <c r="A22" s="65" t="s">
        <v>2</v>
      </c>
      <c r="B22" s="65"/>
      <c r="C22" s="65">
        <f>AVERAGE(C14,C21)</f>
        <v>2463</v>
      </c>
      <c r="D22" s="65">
        <f t="shared" ref="D22:V22" si="2">AVERAGE(D14,D21)</f>
        <v>0</v>
      </c>
      <c r="E22" s="65">
        <f t="shared" si="2"/>
        <v>5873.5</v>
      </c>
      <c r="F22" s="65">
        <f t="shared" si="2"/>
        <v>0</v>
      </c>
      <c r="G22" s="65">
        <f t="shared" si="2"/>
        <v>0</v>
      </c>
      <c r="H22" s="65">
        <f t="shared" si="2"/>
        <v>0</v>
      </c>
      <c r="I22" s="65">
        <f t="shared" si="2"/>
        <v>1244.5</v>
      </c>
      <c r="J22" s="65">
        <f t="shared" si="2"/>
        <v>1244.5</v>
      </c>
      <c r="K22" s="65">
        <f t="shared" si="2"/>
        <v>0</v>
      </c>
      <c r="L22" s="65">
        <f t="shared" si="2"/>
        <v>0</v>
      </c>
      <c r="M22" s="65">
        <f t="shared" si="2"/>
        <v>0</v>
      </c>
      <c r="N22" s="65">
        <f t="shared" si="2"/>
        <v>5873.5</v>
      </c>
      <c r="O22" s="65">
        <f t="shared" si="2"/>
        <v>5873.5</v>
      </c>
      <c r="P22" s="65">
        <f t="shared" si="2"/>
        <v>5873.5</v>
      </c>
      <c r="Q22" s="65">
        <f t="shared" si="2"/>
        <v>0</v>
      </c>
      <c r="R22" s="65">
        <f t="shared" si="2"/>
        <v>5873.5</v>
      </c>
      <c r="S22" s="65">
        <f t="shared" si="2"/>
        <v>0</v>
      </c>
      <c r="T22" s="65">
        <f t="shared" si="2"/>
        <v>5873.5</v>
      </c>
      <c r="U22" s="65">
        <f t="shared" si="2"/>
        <v>0</v>
      </c>
      <c r="V22" s="65">
        <f t="shared" si="2"/>
        <v>1244.5</v>
      </c>
    </row>
    <row r="23" spans="1:22" x14ac:dyDescent="0.35">
      <c r="A23" s="150" t="s">
        <v>159</v>
      </c>
      <c r="B23" s="151"/>
      <c r="C23" s="211"/>
      <c r="D23" s="154"/>
      <c r="E23" s="154"/>
      <c r="F23" s="154"/>
      <c r="G23" s="154"/>
      <c r="H23" s="154"/>
      <c r="I23" s="176">
        <v>43008</v>
      </c>
      <c r="J23" s="176">
        <v>43008</v>
      </c>
      <c r="K23" s="154"/>
      <c r="L23" s="154"/>
      <c r="M23" s="154"/>
      <c r="N23" s="154"/>
      <c r="O23" s="154"/>
      <c r="P23" s="154"/>
      <c r="Q23" s="154"/>
      <c r="R23" s="152"/>
      <c r="S23" s="152"/>
      <c r="T23" s="152"/>
      <c r="U23" s="152"/>
      <c r="V23" s="154"/>
    </row>
    <row r="24" spans="1:22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72">
        <v>2489</v>
      </c>
      <c r="J24" s="172">
        <v>2489</v>
      </c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7"/>
    </row>
    <row r="25" spans="1:22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72">
        <v>6085</v>
      </c>
      <c r="J25" s="175">
        <v>4926</v>
      </c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</row>
    <row r="26" spans="1:22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76">
        <v>43674</v>
      </c>
      <c r="J26" s="180">
        <v>43409</v>
      </c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7"/>
    </row>
    <row r="27" spans="1:22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62" t="s">
        <v>166</v>
      </c>
      <c r="J27" s="162" t="s">
        <v>166</v>
      </c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7"/>
    </row>
    <row r="28" spans="1:22" x14ac:dyDescent="0.35">
      <c r="A28" s="225" t="s">
        <v>167</v>
      </c>
      <c r="B28" s="225"/>
      <c r="C28" s="225">
        <f>IFERROR(C25-C24,"")</f>
        <v>0</v>
      </c>
      <c r="D28" s="225">
        <f t="shared" ref="D28:V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3596</v>
      </c>
      <c r="J28" s="225">
        <f t="shared" si="3"/>
        <v>2437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0</v>
      </c>
      <c r="O28" s="225">
        <f t="shared" si="3"/>
        <v>0</v>
      </c>
      <c r="P28" s="225">
        <f t="shared" si="3"/>
        <v>0</v>
      </c>
      <c r="Q28" s="225">
        <f t="shared" si="3"/>
        <v>0</v>
      </c>
      <c r="R28" s="225">
        <f t="shared" si="3"/>
        <v>0</v>
      </c>
      <c r="S28" s="225">
        <f t="shared" si="3"/>
        <v>0</v>
      </c>
      <c r="T28" s="225">
        <f t="shared" si="3"/>
        <v>0</v>
      </c>
      <c r="U28" s="225">
        <f t="shared" si="3"/>
        <v>0</v>
      </c>
      <c r="V28" s="225">
        <f t="shared" si="3"/>
        <v>0</v>
      </c>
    </row>
    <row r="29" spans="1:22" ht="16.399999999999999" customHeight="1" x14ac:dyDescent="0.35">
      <c r="A29" s="65" t="s">
        <v>2</v>
      </c>
      <c r="B29" s="65"/>
      <c r="C29" s="65">
        <f>AVERAGE(C21,C28,C14)</f>
        <v>1642</v>
      </c>
      <c r="D29" s="65">
        <f t="shared" ref="D29:V29" si="4">AVERAGE(D21,D28,D14)</f>
        <v>0</v>
      </c>
      <c r="E29" s="65">
        <f t="shared" si="4"/>
        <v>3915.6666666666665</v>
      </c>
      <c r="F29" s="65">
        <f t="shared" si="4"/>
        <v>0</v>
      </c>
      <c r="G29" s="65">
        <f t="shared" si="4"/>
        <v>0</v>
      </c>
      <c r="H29" s="65">
        <f t="shared" si="4"/>
        <v>0</v>
      </c>
      <c r="I29" s="65">
        <f t="shared" si="4"/>
        <v>2028.3333333333333</v>
      </c>
      <c r="J29" s="65">
        <f t="shared" si="4"/>
        <v>1642</v>
      </c>
      <c r="K29" s="65">
        <f t="shared" si="4"/>
        <v>0</v>
      </c>
      <c r="L29" s="65">
        <f t="shared" si="4"/>
        <v>0</v>
      </c>
      <c r="M29" s="65">
        <f t="shared" si="4"/>
        <v>0</v>
      </c>
      <c r="N29" s="65">
        <f t="shared" si="4"/>
        <v>3915.6666666666665</v>
      </c>
      <c r="O29" s="65">
        <f t="shared" si="4"/>
        <v>3915.6666666666665</v>
      </c>
      <c r="P29" s="65">
        <f t="shared" si="4"/>
        <v>3915.6666666666665</v>
      </c>
      <c r="Q29" s="65">
        <f t="shared" si="4"/>
        <v>0</v>
      </c>
      <c r="R29" s="65">
        <f t="shared" si="4"/>
        <v>3915.6666666666665</v>
      </c>
      <c r="S29" s="65">
        <f t="shared" si="4"/>
        <v>0</v>
      </c>
      <c r="T29" s="65">
        <f t="shared" si="4"/>
        <v>3915.6666666666665</v>
      </c>
      <c r="U29" s="65">
        <f t="shared" si="4"/>
        <v>0</v>
      </c>
      <c r="V29" s="65">
        <f t="shared" si="4"/>
        <v>829.66666666666663</v>
      </c>
    </row>
    <row r="30" spans="1:22" x14ac:dyDescent="0.35">
      <c r="A30" s="150" t="s">
        <v>159</v>
      </c>
      <c r="B30" s="151"/>
      <c r="C30" s="163" t="s">
        <v>466</v>
      </c>
      <c r="D30" s="154"/>
      <c r="E30" s="154"/>
      <c r="F30" s="154"/>
      <c r="G30" s="154"/>
      <c r="H30" s="154"/>
      <c r="I30" s="154"/>
      <c r="J30" s="176">
        <v>43008</v>
      </c>
      <c r="K30" s="154"/>
      <c r="L30" s="154"/>
      <c r="M30" s="154"/>
      <c r="N30" s="154"/>
      <c r="O30" s="154"/>
      <c r="P30" s="154"/>
      <c r="Q30" s="154"/>
      <c r="R30" s="152"/>
      <c r="S30" s="152"/>
      <c r="T30" s="152"/>
      <c r="U30" s="152"/>
      <c r="V30" s="154"/>
    </row>
    <row r="31" spans="1:22" x14ac:dyDescent="0.35">
      <c r="A31" s="155" t="s">
        <v>161</v>
      </c>
      <c r="B31" s="156" t="s">
        <v>162</v>
      </c>
      <c r="C31" s="165">
        <v>11747</v>
      </c>
      <c r="D31" s="157"/>
      <c r="E31" s="157"/>
      <c r="F31" s="157"/>
      <c r="G31" s="157"/>
      <c r="H31" s="157"/>
      <c r="I31" s="157"/>
      <c r="J31" s="172">
        <v>2489</v>
      </c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</row>
    <row r="32" spans="1:22" x14ac:dyDescent="0.35">
      <c r="A32" s="155" t="s">
        <v>161</v>
      </c>
      <c r="B32" s="156" t="s">
        <v>163</v>
      </c>
      <c r="C32" s="165">
        <v>11747</v>
      </c>
      <c r="D32" s="157"/>
      <c r="E32" s="157"/>
      <c r="F32" s="157"/>
      <c r="G32" s="157"/>
      <c r="H32" s="157"/>
      <c r="I32" s="172">
        <v>8001</v>
      </c>
      <c r="J32" s="172">
        <v>6085</v>
      </c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</row>
    <row r="33" spans="1:22" x14ac:dyDescent="0.35">
      <c r="A33" s="155" t="s">
        <v>164</v>
      </c>
      <c r="B33" s="156"/>
      <c r="C33" s="165" t="s">
        <v>465</v>
      </c>
      <c r="D33" s="157"/>
      <c r="E33" s="157"/>
      <c r="F33" s="157"/>
      <c r="G33" s="157"/>
      <c r="H33" s="157"/>
      <c r="I33" s="157"/>
      <c r="J33" s="176">
        <v>43674</v>
      </c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</row>
    <row r="34" spans="1:22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62" t="s">
        <v>166</v>
      </c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</row>
    <row r="35" spans="1:22" x14ac:dyDescent="0.35">
      <c r="A35" s="225" t="s">
        <v>167</v>
      </c>
      <c r="B35" s="225"/>
      <c r="C35" s="225">
        <f>IFERROR(C32-C31,"")</f>
        <v>0</v>
      </c>
      <c r="D35" s="225">
        <f t="shared" ref="D35:V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8001</v>
      </c>
      <c r="J35" s="225">
        <f t="shared" si="5"/>
        <v>3596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0</v>
      </c>
      <c r="P35" s="225">
        <f t="shared" si="5"/>
        <v>0</v>
      </c>
      <c r="Q35" s="225">
        <f t="shared" si="5"/>
        <v>0</v>
      </c>
      <c r="R35" s="225">
        <f t="shared" si="5"/>
        <v>0</v>
      </c>
      <c r="S35" s="225">
        <f t="shared" si="5"/>
        <v>0</v>
      </c>
      <c r="T35" s="225">
        <f t="shared" si="5"/>
        <v>0</v>
      </c>
      <c r="U35" s="225">
        <f t="shared" si="5"/>
        <v>0</v>
      </c>
      <c r="V35" s="225">
        <f t="shared" si="5"/>
        <v>0</v>
      </c>
    </row>
    <row r="36" spans="1:22" ht="16.399999999999999" customHeight="1" x14ac:dyDescent="0.35">
      <c r="A36" s="65" t="s">
        <v>2</v>
      </c>
      <c r="B36" s="65"/>
      <c r="C36" s="65">
        <f>AVERAGE(C28,C35,C21,C14)</f>
        <v>1231.5</v>
      </c>
      <c r="D36" s="65">
        <f t="shared" ref="D36:V36" si="6">AVERAGE(D28,D35,D21,D14)</f>
        <v>0</v>
      </c>
      <c r="E36" s="65">
        <f t="shared" si="6"/>
        <v>2936.75</v>
      </c>
      <c r="F36" s="65">
        <f t="shared" si="6"/>
        <v>0</v>
      </c>
      <c r="G36" s="65">
        <f t="shared" si="6"/>
        <v>0</v>
      </c>
      <c r="H36" s="65">
        <f t="shared" si="6"/>
        <v>0</v>
      </c>
      <c r="I36" s="65">
        <f t="shared" si="6"/>
        <v>3521.5</v>
      </c>
      <c r="J36" s="65">
        <f t="shared" si="6"/>
        <v>2130.5</v>
      </c>
      <c r="K36" s="65">
        <f t="shared" si="6"/>
        <v>0</v>
      </c>
      <c r="L36" s="65">
        <f t="shared" si="6"/>
        <v>0</v>
      </c>
      <c r="M36" s="65">
        <f t="shared" si="6"/>
        <v>0</v>
      </c>
      <c r="N36" s="65">
        <f t="shared" si="6"/>
        <v>2936.75</v>
      </c>
      <c r="O36" s="65">
        <f t="shared" si="6"/>
        <v>2936.75</v>
      </c>
      <c r="P36" s="65">
        <f t="shared" si="6"/>
        <v>2936.75</v>
      </c>
      <c r="Q36" s="65">
        <f t="shared" si="6"/>
        <v>0</v>
      </c>
      <c r="R36" s="65">
        <f t="shared" si="6"/>
        <v>2936.75</v>
      </c>
      <c r="S36" s="65">
        <f t="shared" si="6"/>
        <v>0</v>
      </c>
      <c r="T36" s="65">
        <f t="shared" si="6"/>
        <v>2936.75</v>
      </c>
      <c r="U36" s="65">
        <f t="shared" si="6"/>
        <v>0</v>
      </c>
      <c r="V36" s="65">
        <f t="shared" si="6"/>
        <v>622.25</v>
      </c>
    </row>
    <row r="37" spans="1:22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4"/>
      <c r="O37" s="154"/>
      <c r="P37" s="154"/>
      <c r="Q37" s="154"/>
      <c r="R37" s="152"/>
      <c r="S37" s="152"/>
      <c r="T37" s="152"/>
      <c r="U37" s="152"/>
      <c r="V37" s="154"/>
    </row>
    <row r="38" spans="1:22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</row>
    <row r="39" spans="1:22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72">
        <v>8001</v>
      </c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</row>
    <row r="40" spans="1:22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</row>
    <row r="41" spans="1:22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</row>
    <row r="42" spans="1:22" x14ac:dyDescent="0.35">
      <c r="A42" s="225" t="s">
        <v>167</v>
      </c>
      <c r="B42" s="225"/>
      <c r="C42" s="225">
        <f>IFERROR(C39-C38,"")</f>
        <v>0</v>
      </c>
      <c r="D42" s="225">
        <f t="shared" ref="D42:V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8001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0</v>
      </c>
      <c r="P42" s="225">
        <f t="shared" si="7"/>
        <v>0</v>
      </c>
      <c r="Q42" s="225">
        <f t="shared" si="7"/>
        <v>0</v>
      </c>
      <c r="R42" s="225">
        <f t="shared" si="7"/>
        <v>0</v>
      </c>
      <c r="S42" s="225">
        <f t="shared" si="7"/>
        <v>0</v>
      </c>
      <c r="T42" s="225">
        <f t="shared" si="7"/>
        <v>0</v>
      </c>
      <c r="U42" s="225">
        <f t="shared" si="7"/>
        <v>0</v>
      </c>
      <c r="V42" s="225">
        <f t="shared" si="7"/>
        <v>0</v>
      </c>
    </row>
    <row r="43" spans="1:22" ht="16.399999999999999" customHeight="1" x14ac:dyDescent="0.35">
      <c r="A43" s="65" t="s">
        <v>2</v>
      </c>
      <c r="B43" s="65"/>
      <c r="C43" s="65">
        <f>AVERAGE(C35,C42,C28,C21,C14)</f>
        <v>985.2</v>
      </c>
      <c r="D43" s="65">
        <f t="shared" ref="D43:V43" si="8">AVERAGE(D35,D42,D28,D21,D14)</f>
        <v>0</v>
      </c>
      <c r="E43" s="65">
        <f t="shared" si="8"/>
        <v>2349.4</v>
      </c>
      <c r="F43" s="65">
        <f t="shared" si="8"/>
        <v>0</v>
      </c>
      <c r="G43" s="65">
        <f t="shared" si="8"/>
        <v>0</v>
      </c>
      <c r="H43" s="65">
        <f t="shared" si="8"/>
        <v>0</v>
      </c>
      <c r="I43" s="65">
        <f t="shared" si="8"/>
        <v>2817.2</v>
      </c>
      <c r="J43" s="65">
        <f t="shared" si="8"/>
        <v>3304.6</v>
      </c>
      <c r="K43" s="65">
        <f t="shared" si="8"/>
        <v>0</v>
      </c>
      <c r="L43" s="65">
        <f t="shared" si="8"/>
        <v>0</v>
      </c>
      <c r="M43" s="65">
        <f t="shared" si="8"/>
        <v>0</v>
      </c>
      <c r="N43" s="65">
        <f t="shared" si="8"/>
        <v>2349.4</v>
      </c>
      <c r="O43" s="65">
        <f t="shared" si="8"/>
        <v>2349.4</v>
      </c>
      <c r="P43" s="65">
        <f t="shared" si="8"/>
        <v>2349.4</v>
      </c>
      <c r="Q43" s="65">
        <f t="shared" si="8"/>
        <v>0</v>
      </c>
      <c r="R43" s="65">
        <f t="shared" si="8"/>
        <v>2349.4</v>
      </c>
      <c r="S43" s="65">
        <f t="shared" si="8"/>
        <v>0</v>
      </c>
      <c r="T43" s="65">
        <f t="shared" si="8"/>
        <v>2349.4</v>
      </c>
      <c r="U43" s="65">
        <f t="shared" si="8"/>
        <v>0</v>
      </c>
      <c r="V43" s="65">
        <f t="shared" si="8"/>
        <v>497.8</v>
      </c>
    </row>
    <row r="44" spans="1:22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4"/>
      <c r="O44" s="154"/>
      <c r="P44" s="154"/>
      <c r="Q44" s="154"/>
      <c r="R44" s="152"/>
      <c r="S44" s="152"/>
      <c r="T44" s="152"/>
      <c r="U44" s="152"/>
      <c r="V44" s="154"/>
    </row>
    <row r="45" spans="1:22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</row>
    <row r="46" spans="1:22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</row>
    <row r="47" spans="1:22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</row>
    <row r="48" spans="1:22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</row>
    <row r="49" spans="1:22" x14ac:dyDescent="0.35">
      <c r="A49" s="225" t="s">
        <v>167</v>
      </c>
      <c r="B49" s="225"/>
      <c r="C49" s="225">
        <f>IFERROR(C46-C45,"")</f>
        <v>0</v>
      </c>
      <c r="D49" s="225">
        <f t="shared" ref="D49:V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  <c r="V49" s="225">
        <f t="shared" si="9"/>
        <v>0</v>
      </c>
    </row>
    <row r="50" spans="1:22" ht="16.399999999999999" customHeight="1" x14ac:dyDescent="0.35">
      <c r="A50" s="65" t="s">
        <v>2</v>
      </c>
      <c r="B50" s="65"/>
      <c r="C50" s="65">
        <f>AVERAGE(C42,C49,C35,C28,C21,C14)</f>
        <v>821</v>
      </c>
      <c r="D50" s="65">
        <f t="shared" ref="D50:V50" si="10">AVERAGE(D42,D49,D35,D28,D21,D14)</f>
        <v>0</v>
      </c>
      <c r="E50" s="65">
        <f t="shared" si="10"/>
        <v>1957.8333333333333</v>
      </c>
      <c r="F50" s="65">
        <f t="shared" si="10"/>
        <v>0</v>
      </c>
      <c r="G50" s="65">
        <f t="shared" si="10"/>
        <v>0</v>
      </c>
      <c r="H50" s="65">
        <f t="shared" si="10"/>
        <v>0</v>
      </c>
      <c r="I50" s="65">
        <f t="shared" si="10"/>
        <v>2347.6666666666665</v>
      </c>
      <c r="J50" s="65">
        <f t="shared" si="10"/>
        <v>2753.8333333333335</v>
      </c>
      <c r="K50" s="65">
        <f t="shared" si="10"/>
        <v>0</v>
      </c>
      <c r="L50" s="65">
        <f t="shared" si="10"/>
        <v>0</v>
      </c>
      <c r="M50" s="65">
        <f t="shared" si="10"/>
        <v>0</v>
      </c>
      <c r="N50" s="65">
        <f t="shared" si="10"/>
        <v>1957.8333333333333</v>
      </c>
      <c r="O50" s="65">
        <f t="shared" si="10"/>
        <v>1957.8333333333333</v>
      </c>
      <c r="P50" s="65">
        <f t="shared" si="10"/>
        <v>1957.8333333333333</v>
      </c>
      <c r="Q50" s="65">
        <f t="shared" si="10"/>
        <v>0</v>
      </c>
      <c r="R50" s="65">
        <f t="shared" si="10"/>
        <v>1957.8333333333333</v>
      </c>
      <c r="S50" s="65">
        <f t="shared" si="10"/>
        <v>0</v>
      </c>
      <c r="T50" s="65">
        <f t="shared" si="10"/>
        <v>1957.8333333333333</v>
      </c>
      <c r="U50" s="65">
        <f t="shared" si="10"/>
        <v>0</v>
      </c>
      <c r="V50" s="65">
        <f t="shared" si="10"/>
        <v>414.83333333333331</v>
      </c>
    </row>
    <row r="51" spans="1:22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4"/>
      <c r="O51" s="154"/>
      <c r="P51" s="154"/>
      <c r="Q51" s="154"/>
      <c r="R51" s="152"/>
      <c r="S51" s="152"/>
      <c r="T51" s="152"/>
      <c r="U51" s="152"/>
      <c r="V51" s="154"/>
    </row>
    <row r="52" spans="1:22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</row>
    <row r="53" spans="1:22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</row>
    <row r="54" spans="1:22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</row>
    <row r="55" spans="1:22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</row>
    <row r="56" spans="1:22" x14ac:dyDescent="0.35">
      <c r="A56" s="225" t="s">
        <v>167</v>
      </c>
      <c r="B56" s="225"/>
      <c r="C56" s="225">
        <f>IFERROR(C53-C52,"")</f>
        <v>0</v>
      </c>
      <c r="D56" s="225">
        <f t="shared" ref="D56:V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0</v>
      </c>
      <c r="P56" s="225">
        <f t="shared" si="11"/>
        <v>0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  <c r="V56" s="225">
        <f t="shared" si="11"/>
        <v>0</v>
      </c>
    </row>
    <row r="57" spans="1:22" ht="16.399999999999999" customHeight="1" x14ac:dyDescent="0.35">
      <c r="A57" s="65" t="s">
        <v>2</v>
      </c>
      <c r="B57" s="65"/>
      <c r="C57" s="65">
        <f>AVERAGE(C49,C56,C42,C35,C28,C21,C14)</f>
        <v>703.71428571428567</v>
      </c>
      <c r="D57" s="65">
        <f t="shared" ref="D57:V57" si="12">AVERAGE(D49,D56,D42,D35,D28,D21,D14)</f>
        <v>0</v>
      </c>
      <c r="E57" s="65">
        <f t="shared" si="12"/>
        <v>1678.1428571428571</v>
      </c>
      <c r="F57" s="65">
        <f t="shared" si="12"/>
        <v>0</v>
      </c>
      <c r="G57" s="65">
        <f t="shared" si="12"/>
        <v>0</v>
      </c>
      <c r="H57" s="65">
        <f t="shared" si="12"/>
        <v>0</v>
      </c>
      <c r="I57" s="65">
        <f t="shared" si="12"/>
        <v>2012.2857142857142</v>
      </c>
      <c r="J57" s="65">
        <f t="shared" si="12"/>
        <v>2360.4285714285716</v>
      </c>
      <c r="K57" s="65">
        <f t="shared" si="12"/>
        <v>0</v>
      </c>
      <c r="L57" s="65">
        <f t="shared" si="12"/>
        <v>0</v>
      </c>
      <c r="M57" s="65">
        <f t="shared" si="12"/>
        <v>0</v>
      </c>
      <c r="N57" s="65">
        <f t="shared" si="12"/>
        <v>1678.1428571428571</v>
      </c>
      <c r="O57" s="65">
        <f t="shared" si="12"/>
        <v>1678.1428571428571</v>
      </c>
      <c r="P57" s="65">
        <f t="shared" si="12"/>
        <v>1678.1428571428571</v>
      </c>
      <c r="Q57" s="65">
        <f t="shared" si="12"/>
        <v>0</v>
      </c>
      <c r="R57" s="65">
        <f t="shared" si="12"/>
        <v>1678.1428571428571</v>
      </c>
      <c r="S57" s="65">
        <f t="shared" si="12"/>
        <v>0</v>
      </c>
      <c r="T57" s="65">
        <f t="shared" si="12"/>
        <v>1678.1428571428571</v>
      </c>
      <c r="U57" s="65">
        <f t="shared" si="12"/>
        <v>0</v>
      </c>
      <c r="V57" s="65">
        <f t="shared" si="12"/>
        <v>355.57142857142856</v>
      </c>
    </row>
    <row r="58" spans="1:22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4"/>
      <c r="O58" s="154"/>
      <c r="P58" s="154"/>
      <c r="Q58" s="154"/>
      <c r="R58" s="152"/>
      <c r="S58" s="152"/>
      <c r="T58" s="152"/>
      <c r="U58" s="152"/>
      <c r="V58" s="154"/>
    </row>
    <row r="59" spans="1:22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</row>
    <row r="60" spans="1:22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</row>
    <row r="61" spans="1:22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</row>
    <row r="62" spans="1:22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</row>
    <row r="63" spans="1:22" x14ac:dyDescent="0.35">
      <c r="A63" s="225" t="s">
        <v>167</v>
      </c>
      <c r="B63" s="225"/>
      <c r="C63" s="225">
        <f>IFERROR(C60-C59,"")</f>
        <v>0</v>
      </c>
      <c r="D63" s="225">
        <f t="shared" ref="D63:V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  <c r="V63" s="225">
        <f t="shared" si="13"/>
        <v>0</v>
      </c>
    </row>
    <row r="64" spans="1:22" ht="16.399999999999999" customHeight="1" x14ac:dyDescent="0.35">
      <c r="A64" s="65" t="s">
        <v>2</v>
      </c>
      <c r="B64" s="65"/>
      <c r="C64" s="65">
        <f>AVERAGE(C56,C63,C49,C42,C35,C28,C21,C14)</f>
        <v>615.75</v>
      </c>
      <c r="D64" s="65">
        <f t="shared" ref="D64:V64" si="14">AVERAGE(D56,D63,D49,D42,D35,D28,D21,D14)</f>
        <v>0</v>
      </c>
      <c r="E64" s="65">
        <f t="shared" si="14"/>
        <v>1468.375</v>
      </c>
      <c r="F64" s="65">
        <f t="shared" si="14"/>
        <v>0</v>
      </c>
      <c r="G64" s="65">
        <f t="shared" si="14"/>
        <v>0</v>
      </c>
      <c r="H64" s="65">
        <f t="shared" si="14"/>
        <v>0</v>
      </c>
      <c r="I64" s="65">
        <f t="shared" si="14"/>
        <v>1760.75</v>
      </c>
      <c r="J64" s="65">
        <f t="shared" si="14"/>
        <v>2065.375</v>
      </c>
      <c r="K64" s="65">
        <f t="shared" si="14"/>
        <v>0</v>
      </c>
      <c r="L64" s="65">
        <f t="shared" si="14"/>
        <v>0</v>
      </c>
      <c r="M64" s="65">
        <f t="shared" si="14"/>
        <v>0</v>
      </c>
      <c r="N64" s="65">
        <f t="shared" si="14"/>
        <v>1468.375</v>
      </c>
      <c r="O64" s="65">
        <f t="shared" si="14"/>
        <v>1468.375</v>
      </c>
      <c r="P64" s="65">
        <f t="shared" si="14"/>
        <v>1468.375</v>
      </c>
      <c r="Q64" s="65">
        <f t="shared" si="14"/>
        <v>0</v>
      </c>
      <c r="R64" s="65">
        <f t="shared" si="14"/>
        <v>1468.375</v>
      </c>
      <c r="S64" s="65">
        <f t="shared" si="14"/>
        <v>0</v>
      </c>
      <c r="T64" s="65">
        <f t="shared" si="14"/>
        <v>1468.375</v>
      </c>
      <c r="U64" s="65">
        <f t="shared" si="14"/>
        <v>0</v>
      </c>
      <c r="V64" s="65">
        <f t="shared" si="14"/>
        <v>311.125</v>
      </c>
    </row>
  </sheetData>
  <sheetProtection algorithmName="SHA-512" hashValue="8tXtpJ8kCTAKDH/CHalpV6ghOBlrVds70c7SgYJBpysKDCng2sCVPRwwhVN33QNQUcVUhVYxlLFVW67gc0x+iA==" saltValue="5jmk4c+tU/YRHlM64rEO0A==" spinCount="100000" sheet="1" objects="1" scenarios="1"/>
  <autoFilter ref="A2:V64" xr:uid="{00000000-0009-0000-0000-000018000000}"/>
  <mergeCells count="2">
    <mergeCell ref="A7:B7"/>
    <mergeCell ref="A8:B8"/>
  </mergeCells>
  <conditionalFormatting sqref="C15 F15:V15">
    <cfRule type="expression" dxfId="611" priority="55">
      <formula>C15&lt;#REF!</formula>
    </cfRule>
    <cfRule type="expression" dxfId="610" priority="56">
      <formula>C15&gt;#REF!</formula>
    </cfRule>
  </conditionalFormatting>
  <conditionalFormatting sqref="D15">
    <cfRule type="expression" dxfId="609" priority="57">
      <formula>D15&lt;#REF!</formula>
    </cfRule>
    <cfRule type="expression" dxfId="608" priority="58">
      <formula>D15&gt;#REF!</formula>
    </cfRule>
  </conditionalFormatting>
  <conditionalFormatting sqref="E15">
    <cfRule type="expression" dxfId="607" priority="59" stopIfTrue="1">
      <formula>E15&lt;#REF!</formula>
    </cfRule>
    <cfRule type="expression" dxfId="606" priority="60" stopIfTrue="1">
      <formula>E15&gt;#REF!</formula>
    </cfRule>
  </conditionalFormatting>
  <conditionalFormatting sqref="C22:V22">
    <cfRule type="expression" dxfId="605" priority="49">
      <formula>C22&lt;#REF!</formula>
    </cfRule>
    <cfRule type="expression" dxfId="604" priority="50">
      <formula>C22&gt;#REF!</formula>
    </cfRule>
  </conditionalFormatting>
  <conditionalFormatting sqref="D22">
    <cfRule type="expression" dxfId="603" priority="51">
      <formula>D22&lt;#REF!</formula>
    </cfRule>
    <cfRule type="expression" dxfId="602" priority="52">
      <formula>D22&gt;#REF!</formula>
    </cfRule>
  </conditionalFormatting>
  <conditionalFormatting sqref="E22">
    <cfRule type="expression" dxfId="601" priority="53" stopIfTrue="1">
      <formula>E22&lt;#REF!</formula>
    </cfRule>
    <cfRule type="expression" dxfId="600" priority="54" stopIfTrue="1">
      <formula>E22&gt;#REF!</formula>
    </cfRule>
  </conditionalFormatting>
  <conditionalFormatting sqref="F29:V29">
    <cfRule type="expression" dxfId="599" priority="43">
      <formula>F29&lt;#REF!</formula>
    </cfRule>
    <cfRule type="expression" dxfId="598" priority="44">
      <formula>F29&gt;#REF!</formula>
    </cfRule>
  </conditionalFormatting>
  <conditionalFormatting sqref="D29">
    <cfRule type="expression" dxfId="597" priority="45">
      <formula>D29&lt;#REF!</formula>
    </cfRule>
    <cfRule type="expression" dxfId="596" priority="46">
      <formula>D29&gt;#REF!</formula>
    </cfRule>
  </conditionalFormatting>
  <conditionalFormatting sqref="E29">
    <cfRule type="expression" dxfId="595" priority="47" stopIfTrue="1">
      <formula>E29&lt;#REF!</formula>
    </cfRule>
    <cfRule type="expression" dxfId="594" priority="48" stopIfTrue="1">
      <formula>E29&gt;#REF!</formula>
    </cfRule>
  </conditionalFormatting>
  <conditionalFormatting sqref="F36:V36">
    <cfRule type="expression" dxfId="593" priority="37">
      <formula>F36&lt;#REF!</formula>
    </cfRule>
    <cfRule type="expression" dxfId="592" priority="38">
      <formula>F36&gt;#REF!</formula>
    </cfRule>
  </conditionalFormatting>
  <conditionalFormatting sqref="D36">
    <cfRule type="expression" dxfId="591" priority="39">
      <formula>D36&lt;#REF!</formula>
    </cfRule>
    <cfRule type="expression" dxfId="590" priority="40">
      <formula>D36&gt;#REF!</formula>
    </cfRule>
  </conditionalFormatting>
  <conditionalFormatting sqref="E36">
    <cfRule type="expression" dxfId="589" priority="41" stopIfTrue="1">
      <formula>E36&lt;#REF!</formula>
    </cfRule>
    <cfRule type="expression" dxfId="588" priority="42" stopIfTrue="1">
      <formula>E36&gt;#REF!</formula>
    </cfRule>
  </conditionalFormatting>
  <conditionalFormatting sqref="F43:V43">
    <cfRule type="expression" dxfId="587" priority="31">
      <formula>F43&lt;#REF!</formula>
    </cfRule>
    <cfRule type="expression" dxfId="586" priority="32">
      <formula>F43&gt;#REF!</formula>
    </cfRule>
  </conditionalFormatting>
  <conditionalFormatting sqref="D43">
    <cfRule type="expression" dxfId="585" priority="33">
      <formula>D43&lt;#REF!</formula>
    </cfRule>
    <cfRule type="expression" dxfId="584" priority="34">
      <formula>D43&gt;#REF!</formula>
    </cfRule>
  </conditionalFormatting>
  <conditionalFormatting sqref="E43">
    <cfRule type="expression" dxfId="583" priority="35" stopIfTrue="1">
      <formula>E43&lt;#REF!</formula>
    </cfRule>
    <cfRule type="expression" dxfId="582" priority="36" stopIfTrue="1">
      <formula>E43&gt;#REF!</formula>
    </cfRule>
  </conditionalFormatting>
  <conditionalFormatting sqref="F50:V50">
    <cfRule type="expression" dxfId="581" priority="25">
      <formula>F50&lt;#REF!</formula>
    </cfRule>
    <cfRule type="expression" dxfId="580" priority="26">
      <formula>F50&gt;#REF!</formula>
    </cfRule>
  </conditionalFormatting>
  <conditionalFormatting sqref="D50">
    <cfRule type="expression" dxfId="579" priority="27">
      <formula>D50&lt;#REF!</formula>
    </cfRule>
    <cfRule type="expression" dxfId="578" priority="28">
      <formula>D50&gt;#REF!</formula>
    </cfRule>
  </conditionalFormatting>
  <conditionalFormatting sqref="E50">
    <cfRule type="expression" dxfId="577" priority="29" stopIfTrue="1">
      <formula>E50&lt;#REF!</formula>
    </cfRule>
    <cfRule type="expression" dxfId="576" priority="30" stopIfTrue="1">
      <formula>E50&gt;#REF!</formula>
    </cfRule>
  </conditionalFormatting>
  <conditionalFormatting sqref="F57:V57">
    <cfRule type="expression" dxfId="575" priority="19">
      <formula>F57&lt;#REF!</formula>
    </cfRule>
    <cfRule type="expression" dxfId="574" priority="20">
      <formula>F57&gt;#REF!</formula>
    </cfRule>
  </conditionalFormatting>
  <conditionalFormatting sqref="D57">
    <cfRule type="expression" dxfId="573" priority="21">
      <formula>D57&lt;#REF!</formula>
    </cfRule>
    <cfRule type="expression" dxfId="572" priority="22">
      <formula>D57&gt;#REF!</formula>
    </cfRule>
  </conditionalFormatting>
  <conditionalFormatting sqref="E57">
    <cfRule type="expression" dxfId="571" priority="23" stopIfTrue="1">
      <formula>E57&lt;#REF!</formula>
    </cfRule>
    <cfRule type="expression" dxfId="570" priority="24" stopIfTrue="1">
      <formula>E57&gt;#REF!</formula>
    </cfRule>
  </conditionalFormatting>
  <conditionalFormatting sqref="F64:V64">
    <cfRule type="expression" dxfId="569" priority="13">
      <formula>F64&lt;#REF!</formula>
    </cfRule>
    <cfRule type="expression" dxfId="568" priority="14">
      <formula>F64&gt;#REF!</formula>
    </cfRule>
  </conditionalFormatting>
  <conditionalFormatting sqref="D64">
    <cfRule type="expression" dxfId="567" priority="15">
      <formula>D64&lt;#REF!</formula>
    </cfRule>
    <cfRule type="expression" dxfId="566" priority="16">
      <formula>D64&gt;#REF!</formula>
    </cfRule>
  </conditionalFormatting>
  <conditionalFormatting sqref="E64">
    <cfRule type="expression" dxfId="565" priority="17" stopIfTrue="1">
      <formula>E64&lt;#REF!</formula>
    </cfRule>
    <cfRule type="expression" dxfId="564" priority="18" stopIfTrue="1">
      <formula>E64&gt;#REF!</formula>
    </cfRule>
  </conditionalFormatting>
  <conditionalFormatting sqref="C29:V29">
    <cfRule type="expression" dxfId="563" priority="11">
      <formula>C29&lt;#REF!</formula>
    </cfRule>
    <cfRule type="expression" dxfId="562" priority="12">
      <formula>C29&gt;#REF!</formula>
    </cfRule>
  </conditionalFormatting>
  <conditionalFormatting sqref="C36:V36">
    <cfRule type="expression" dxfId="561" priority="9">
      <formula>C36&lt;#REF!</formula>
    </cfRule>
    <cfRule type="expression" dxfId="560" priority="10">
      <formula>C36&gt;#REF!</formula>
    </cfRule>
  </conditionalFormatting>
  <conditionalFormatting sqref="C43:V43">
    <cfRule type="expression" dxfId="559" priority="7">
      <formula>C43&lt;#REF!</formula>
    </cfRule>
    <cfRule type="expression" dxfId="558" priority="8">
      <formula>C43&gt;#REF!</formula>
    </cfRule>
  </conditionalFormatting>
  <conditionalFormatting sqref="C50:V50">
    <cfRule type="expression" dxfId="557" priority="5">
      <formula>C50&lt;#REF!</formula>
    </cfRule>
    <cfRule type="expression" dxfId="556" priority="6">
      <formula>C50&gt;#REF!</formula>
    </cfRule>
  </conditionalFormatting>
  <conditionalFormatting sqref="C57:V57">
    <cfRule type="expression" dxfId="555" priority="3">
      <formula>C57&lt;#REF!</formula>
    </cfRule>
    <cfRule type="expression" dxfId="554" priority="4">
      <formula>C57&gt;#REF!</formula>
    </cfRule>
  </conditionalFormatting>
  <conditionalFormatting sqref="C64:V64">
    <cfRule type="expression" dxfId="553" priority="1">
      <formula>C64&lt;#REF!</formula>
    </cfRule>
    <cfRule type="expression" dxfId="552" priority="2">
      <formula>C64&gt;#REF!</formula>
    </cfRule>
  </conditionalFormatting>
  <pageMargins left="0.7" right="0.7" top="0.75" bottom="0.75" header="0.3" footer="0.3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V64"/>
  <sheetViews>
    <sheetView workbookViewId="0">
      <selection activeCell="E19" sqref="E19"/>
    </sheetView>
  </sheetViews>
  <sheetFormatPr defaultColWidth="8.81640625" defaultRowHeight="14.5" x14ac:dyDescent="0.35"/>
  <cols>
    <col min="1" max="1" width="16.81640625" customWidth="1"/>
    <col min="2" max="2" width="5.1796875" customWidth="1"/>
    <col min="3" max="3" width="21.54296875" bestFit="1" customWidth="1"/>
    <col min="4" max="4" width="17.1796875" bestFit="1" customWidth="1"/>
    <col min="5" max="5" width="2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0" width="17.1796875" customWidth="1"/>
    <col min="11" max="11" width="18.81640625" customWidth="1"/>
    <col min="12" max="12" width="17.81640625" customWidth="1"/>
    <col min="13" max="13" width="17.1796875" bestFit="1" customWidth="1"/>
    <col min="14" max="16" width="17.1796875" customWidth="1"/>
    <col min="17" max="17" width="17.1796875" bestFit="1" customWidth="1"/>
    <col min="18" max="18" width="17.81640625" bestFit="1" customWidth="1"/>
    <col min="19" max="19" width="17.1796875" bestFit="1" customWidth="1"/>
    <col min="20" max="21" width="17.1796875" customWidth="1"/>
    <col min="22" max="22" width="17.1796875" bestFit="1" customWidth="1"/>
  </cols>
  <sheetData>
    <row r="1" spans="1:22" ht="15" thickBot="1" x14ac:dyDescent="0.4"/>
    <row r="2" spans="1:22" x14ac:dyDescent="0.35">
      <c r="E2" s="130" t="s">
        <v>195</v>
      </c>
      <c r="F2" s="131"/>
      <c r="G2" s="131" t="s">
        <v>104</v>
      </c>
      <c r="H2" s="131"/>
      <c r="I2" s="132"/>
    </row>
    <row r="3" spans="1:22" x14ac:dyDescent="0.35">
      <c r="E3" s="133"/>
      <c r="F3" s="134" t="s">
        <v>417</v>
      </c>
      <c r="G3" s="135"/>
      <c r="H3" s="134"/>
      <c r="I3" s="136"/>
    </row>
    <row r="4" spans="1:22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22" ht="30.65" customHeight="1" x14ac:dyDescent="0.35">
      <c r="A5" s="141" t="s">
        <v>467</v>
      </c>
      <c r="B5" t="s">
        <v>468</v>
      </c>
    </row>
    <row r="6" spans="1:22" ht="28.4" customHeight="1" x14ac:dyDescent="0.35">
      <c r="A6" s="142" t="s">
        <v>200</v>
      </c>
      <c r="B6" s="169"/>
      <c r="C6" s="142" t="s">
        <v>420</v>
      </c>
      <c r="D6" s="142" t="s">
        <v>421</v>
      </c>
      <c r="E6" s="142" t="s">
        <v>422</v>
      </c>
      <c r="F6" s="142" t="s">
        <v>423</v>
      </c>
      <c r="G6" s="143" t="s">
        <v>424</v>
      </c>
      <c r="H6" s="143" t="s">
        <v>425</v>
      </c>
      <c r="I6" s="143" t="s">
        <v>426</v>
      </c>
      <c r="J6" s="142" t="s">
        <v>427</v>
      </c>
      <c r="K6" s="142" t="s">
        <v>428</v>
      </c>
      <c r="L6" s="142" t="s">
        <v>348</v>
      </c>
      <c r="M6" s="142" t="s">
        <v>429</v>
      </c>
      <c r="N6" s="142" t="s">
        <v>430</v>
      </c>
      <c r="O6" s="142" t="s">
        <v>431</v>
      </c>
      <c r="P6" s="142" t="s">
        <v>432</v>
      </c>
      <c r="Q6" s="142" t="s">
        <v>433</v>
      </c>
      <c r="R6" s="142" t="s">
        <v>434</v>
      </c>
      <c r="S6" s="142" t="s">
        <v>435</v>
      </c>
      <c r="T6" s="142" t="s">
        <v>436</v>
      </c>
      <c r="U6" s="142" t="s">
        <v>437</v>
      </c>
      <c r="V6" s="144" t="s">
        <v>438</v>
      </c>
    </row>
    <row r="7" spans="1:22" x14ac:dyDescent="0.35">
      <c r="A7" s="252" t="s">
        <v>137</v>
      </c>
      <c r="B7" s="252"/>
      <c r="C7" s="145" t="s">
        <v>140</v>
      </c>
      <c r="D7" s="145" t="s">
        <v>141</v>
      </c>
      <c r="E7" s="145" t="s">
        <v>214</v>
      </c>
      <c r="F7" s="145" t="s">
        <v>215</v>
      </c>
      <c r="G7" s="145" t="s">
        <v>142</v>
      </c>
      <c r="H7" s="145" t="s">
        <v>143</v>
      </c>
      <c r="I7" s="145" t="s">
        <v>144</v>
      </c>
      <c r="J7" s="145" t="s">
        <v>145</v>
      </c>
      <c r="K7" s="145" t="s">
        <v>146</v>
      </c>
      <c r="L7" s="145" t="s">
        <v>147</v>
      </c>
      <c r="M7" s="145" t="s">
        <v>439</v>
      </c>
      <c r="N7" s="145" t="s">
        <v>149</v>
      </c>
      <c r="O7" s="145" t="s">
        <v>150</v>
      </c>
      <c r="P7" s="145" t="s">
        <v>151</v>
      </c>
      <c r="Q7" s="145" t="s">
        <v>153</v>
      </c>
      <c r="R7" s="145" t="s">
        <v>217</v>
      </c>
      <c r="S7" s="145" t="s">
        <v>218</v>
      </c>
      <c r="T7" s="145" t="s">
        <v>156</v>
      </c>
      <c r="U7" s="145" t="s">
        <v>440</v>
      </c>
      <c r="V7" s="145" t="s">
        <v>359</v>
      </c>
    </row>
    <row r="8" spans="1:22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2</v>
      </c>
      <c r="K8" s="147">
        <v>1</v>
      </c>
      <c r="L8" s="147">
        <v>2</v>
      </c>
      <c r="M8" s="147">
        <v>1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4</v>
      </c>
      <c r="T8" s="147">
        <v>1</v>
      </c>
      <c r="U8" s="147">
        <v>1</v>
      </c>
      <c r="V8" s="147">
        <v>1</v>
      </c>
    </row>
    <row r="9" spans="1:22" x14ac:dyDescent="0.35">
      <c r="A9" s="150" t="s">
        <v>159</v>
      </c>
      <c r="B9" s="151"/>
      <c r="C9" s="152"/>
      <c r="D9" s="152"/>
      <c r="E9" s="152"/>
      <c r="F9" s="173"/>
      <c r="G9" s="152"/>
      <c r="H9" s="152"/>
      <c r="I9" s="173" t="s">
        <v>225</v>
      </c>
      <c r="J9" s="173" t="s">
        <v>225</v>
      </c>
      <c r="K9" s="154"/>
      <c r="L9" s="173" t="s">
        <v>225</v>
      </c>
      <c r="M9" s="152"/>
      <c r="N9" s="152"/>
      <c r="O9" s="173" t="s">
        <v>225</v>
      </c>
      <c r="P9" s="173" t="s">
        <v>225</v>
      </c>
      <c r="Q9" s="152"/>
      <c r="R9" s="152"/>
      <c r="S9" s="152"/>
      <c r="T9" s="152"/>
      <c r="U9" s="173" t="s">
        <v>225</v>
      </c>
      <c r="V9" s="173" t="s">
        <v>225</v>
      </c>
    </row>
    <row r="10" spans="1:22" x14ac:dyDescent="0.35">
      <c r="A10" s="155" t="s">
        <v>161</v>
      </c>
      <c r="B10" s="156" t="s">
        <v>162</v>
      </c>
      <c r="C10" s="157"/>
      <c r="D10" s="157"/>
      <c r="E10" s="157"/>
      <c r="F10" s="172"/>
      <c r="G10" s="157"/>
      <c r="H10" s="157"/>
      <c r="I10" s="172">
        <v>0</v>
      </c>
      <c r="J10" s="172">
        <v>0</v>
      </c>
      <c r="K10" s="157">
        <v>0</v>
      </c>
      <c r="L10" s="172">
        <v>0</v>
      </c>
      <c r="M10" s="157"/>
      <c r="N10" s="157"/>
      <c r="O10" s="172">
        <v>0</v>
      </c>
      <c r="P10" s="172">
        <v>0</v>
      </c>
      <c r="Q10" s="157"/>
      <c r="R10" s="157"/>
      <c r="S10" s="157"/>
      <c r="T10" s="157"/>
      <c r="U10" s="172">
        <v>0</v>
      </c>
      <c r="V10" s="172">
        <v>0</v>
      </c>
    </row>
    <row r="11" spans="1:22" x14ac:dyDescent="0.35">
      <c r="A11" s="155" t="s">
        <v>161</v>
      </c>
      <c r="B11" s="156" t="s">
        <v>163</v>
      </c>
      <c r="C11" s="157"/>
      <c r="D11" s="157"/>
      <c r="E11" s="157"/>
      <c r="F11" s="157"/>
      <c r="G11" s="157"/>
      <c r="H11" s="157"/>
      <c r="I11" s="172">
        <v>8841</v>
      </c>
      <c r="J11" s="172">
        <v>0</v>
      </c>
      <c r="K11" s="157"/>
      <c r="L11" s="172">
        <v>0</v>
      </c>
      <c r="M11" s="157"/>
      <c r="N11" s="157"/>
      <c r="O11" s="172">
        <v>0</v>
      </c>
      <c r="P11" s="172">
        <v>4230</v>
      </c>
      <c r="Q11" s="157"/>
      <c r="R11" s="157"/>
      <c r="S11" s="157"/>
      <c r="T11" s="157"/>
      <c r="U11" s="172">
        <v>4230</v>
      </c>
      <c r="V11" s="172">
        <v>21264</v>
      </c>
    </row>
    <row r="12" spans="1:22" x14ac:dyDescent="0.35">
      <c r="A12" s="155" t="s">
        <v>164</v>
      </c>
      <c r="B12" s="156"/>
      <c r="C12" s="157"/>
      <c r="D12" s="157"/>
      <c r="E12" s="157"/>
      <c r="F12" s="157"/>
      <c r="G12" s="157"/>
      <c r="H12" s="157"/>
      <c r="I12" s="176">
        <v>43070</v>
      </c>
      <c r="J12" s="176">
        <v>43617</v>
      </c>
      <c r="K12" s="157"/>
      <c r="L12" s="176">
        <v>43617</v>
      </c>
      <c r="M12" s="157"/>
      <c r="N12" s="157"/>
      <c r="O12" s="176">
        <v>43191</v>
      </c>
      <c r="P12" s="176">
        <v>42862</v>
      </c>
      <c r="Q12" s="157"/>
      <c r="R12" s="157"/>
      <c r="S12" s="157"/>
      <c r="T12" s="157"/>
      <c r="U12" s="176">
        <v>42862</v>
      </c>
      <c r="V12" s="176">
        <v>43714</v>
      </c>
    </row>
    <row r="13" spans="1:22" ht="29" x14ac:dyDescent="0.35">
      <c r="A13" s="160" t="s">
        <v>165</v>
      </c>
      <c r="B13" s="161"/>
      <c r="C13" s="157"/>
      <c r="D13" s="157"/>
      <c r="E13" s="157"/>
      <c r="F13" s="157"/>
      <c r="G13" s="157"/>
      <c r="H13" s="157"/>
      <c r="I13" s="184" t="s">
        <v>469</v>
      </c>
      <c r="J13" s="162" t="s">
        <v>166</v>
      </c>
      <c r="K13" s="157"/>
      <c r="L13" s="162" t="s">
        <v>166</v>
      </c>
      <c r="M13" s="157"/>
      <c r="N13" s="157"/>
      <c r="O13" s="162" t="s">
        <v>166</v>
      </c>
      <c r="P13" s="162" t="s">
        <v>166</v>
      </c>
      <c r="Q13" s="157"/>
      <c r="R13" s="157"/>
      <c r="S13" s="157"/>
      <c r="T13" s="157"/>
      <c r="U13" s="162" t="s">
        <v>166</v>
      </c>
      <c r="V13" s="162" t="s">
        <v>166</v>
      </c>
    </row>
    <row r="14" spans="1:22" x14ac:dyDescent="0.35">
      <c r="A14" s="225" t="s">
        <v>167</v>
      </c>
      <c r="B14" s="225"/>
      <c r="C14" s="225">
        <f>IFERROR(C11-C10,"")</f>
        <v>0</v>
      </c>
      <c r="D14" s="225">
        <f t="shared" ref="D14:V14" si="0">IFERROR(D11-D10,"")</f>
        <v>0</v>
      </c>
      <c r="E14" s="225">
        <f t="shared" si="0"/>
        <v>0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8841</v>
      </c>
      <c r="J14" s="225">
        <f t="shared" si="0"/>
        <v>0</v>
      </c>
      <c r="K14" s="225">
        <f t="shared" si="0"/>
        <v>0</v>
      </c>
      <c r="L14" s="225">
        <f t="shared" si="0"/>
        <v>0</v>
      </c>
      <c r="M14" s="225">
        <f t="shared" si="0"/>
        <v>0</v>
      </c>
      <c r="N14" s="225">
        <f t="shared" si="0"/>
        <v>0</v>
      </c>
      <c r="O14" s="225">
        <f t="shared" si="0"/>
        <v>0</v>
      </c>
      <c r="P14" s="225">
        <f t="shared" si="0"/>
        <v>4230</v>
      </c>
      <c r="Q14" s="225">
        <f t="shared" si="0"/>
        <v>0</v>
      </c>
      <c r="R14" s="225">
        <f t="shared" si="0"/>
        <v>0</v>
      </c>
      <c r="S14" s="225">
        <f t="shared" si="0"/>
        <v>0</v>
      </c>
      <c r="T14" s="225">
        <f t="shared" si="0"/>
        <v>0</v>
      </c>
      <c r="U14" s="225">
        <f t="shared" si="0"/>
        <v>4230</v>
      </c>
      <c r="V14" s="225">
        <f t="shared" si="0"/>
        <v>21264</v>
      </c>
    </row>
    <row r="15" spans="1:22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</row>
    <row r="16" spans="1:22" x14ac:dyDescent="0.35">
      <c r="A16" s="150" t="s">
        <v>159</v>
      </c>
      <c r="B16" s="151"/>
      <c r="C16" s="163"/>
      <c r="D16" s="154"/>
      <c r="E16" s="154"/>
      <c r="F16" s="154"/>
      <c r="G16" s="154"/>
      <c r="H16" s="154"/>
      <c r="I16" s="176">
        <v>43070</v>
      </c>
      <c r="J16" s="176">
        <v>43617</v>
      </c>
      <c r="K16" s="154"/>
      <c r="L16" s="154"/>
      <c r="M16" s="154"/>
      <c r="N16" s="154"/>
      <c r="O16" s="176">
        <v>43191</v>
      </c>
      <c r="P16" s="176">
        <v>42862</v>
      </c>
      <c r="Q16" s="154"/>
      <c r="R16" s="152"/>
      <c r="S16" s="152"/>
      <c r="T16" s="152"/>
      <c r="U16" s="176">
        <v>42862</v>
      </c>
      <c r="V16" s="154"/>
    </row>
    <row r="17" spans="1:22" x14ac:dyDescent="0.35">
      <c r="A17" s="155" t="s">
        <v>161</v>
      </c>
      <c r="B17" s="156" t="s">
        <v>162</v>
      </c>
      <c r="C17" s="165"/>
      <c r="D17" s="157"/>
      <c r="E17" s="157"/>
      <c r="F17" s="157"/>
      <c r="G17" s="157"/>
      <c r="H17" s="157"/>
      <c r="I17" s="172">
        <v>8841</v>
      </c>
      <c r="J17" s="172">
        <v>0</v>
      </c>
      <c r="K17" s="157"/>
      <c r="L17" s="157"/>
      <c r="M17" s="157"/>
      <c r="N17" s="157"/>
      <c r="O17" s="172">
        <v>0</v>
      </c>
      <c r="P17" s="172">
        <v>4230</v>
      </c>
      <c r="Q17" s="157"/>
      <c r="R17" s="157"/>
      <c r="S17" s="157"/>
      <c r="T17" s="157"/>
      <c r="U17" s="172">
        <v>4230</v>
      </c>
      <c r="V17" s="157"/>
    </row>
    <row r="18" spans="1:22" x14ac:dyDescent="0.35">
      <c r="A18" s="155" t="s">
        <v>161</v>
      </c>
      <c r="B18" s="156" t="s">
        <v>163</v>
      </c>
      <c r="C18" s="165"/>
      <c r="D18" s="157"/>
      <c r="E18" s="157"/>
      <c r="F18" s="157"/>
      <c r="G18" s="157"/>
      <c r="H18" s="157"/>
      <c r="I18" s="172">
        <v>21264</v>
      </c>
      <c r="J18" s="172">
        <v>21264</v>
      </c>
      <c r="K18" s="157"/>
      <c r="L18" s="157"/>
      <c r="M18" s="157"/>
      <c r="N18" s="157"/>
      <c r="O18" s="172">
        <v>18373</v>
      </c>
      <c r="P18" s="172">
        <v>0</v>
      </c>
      <c r="Q18" s="157"/>
      <c r="R18" s="157"/>
      <c r="S18" s="157"/>
      <c r="T18" s="157"/>
      <c r="U18" s="172">
        <v>0</v>
      </c>
      <c r="V18" s="157"/>
    </row>
    <row r="19" spans="1:22" x14ac:dyDescent="0.35">
      <c r="A19" s="155" t="s">
        <v>164</v>
      </c>
      <c r="B19" s="156"/>
      <c r="C19" s="165"/>
      <c r="D19" s="157"/>
      <c r="E19" s="157"/>
      <c r="F19" s="157"/>
      <c r="G19" s="157"/>
      <c r="H19" s="157"/>
      <c r="I19" s="176">
        <v>43714</v>
      </c>
      <c r="J19" s="176">
        <v>43714</v>
      </c>
      <c r="K19" s="157"/>
      <c r="L19" s="157"/>
      <c r="M19" s="157"/>
      <c r="N19" s="157"/>
      <c r="O19" s="176">
        <v>43497</v>
      </c>
      <c r="P19" s="176">
        <v>43617</v>
      </c>
      <c r="Q19" s="157"/>
      <c r="R19" s="157"/>
      <c r="S19" s="157"/>
      <c r="T19" s="157"/>
      <c r="U19" s="176">
        <v>43617</v>
      </c>
      <c r="V19" s="157"/>
    </row>
    <row r="20" spans="1:22" ht="29" x14ac:dyDescent="0.35">
      <c r="A20" s="160" t="s">
        <v>165</v>
      </c>
      <c r="B20" s="167"/>
      <c r="C20" s="165"/>
      <c r="D20" s="157"/>
      <c r="E20" s="157"/>
      <c r="F20" s="157"/>
      <c r="G20" s="157"/>
      <c r="H20" s="157"/>
      <c r="I20" s="162" t="s">
        <v>166</v>
      </c>
      <c r="J20" s="162" t="s">
        <v>166</v>
      </c>
      <c r="K20" s="157"/>
      <c r="L20" s="157"/>
      <c r="M20" s="157"/>
      <c r="N20" s="157"/>
      <c r="O20" s="162" t="s">
        <v>166</v>
      </c>
      <c r="P20" s="162" t="s">
        <v>166</v>
      </c>
      <c r="Q20" s="157"/>
      <c r="R20" s="157"/>
      <c r="S20" s="157"/>
      <c r="T20" s="157"/>
      <c r="U20" s="162" t="s">
        <v>166</v>
      </c>
      <c r="V20" s="157"/>
    </row>
    <row r="21" spans="1:22" x14ac:dyDescent="0.35">
      <c r="A21" s="225" t="s">
        <v>167</v>
      </c>
      <c r="B21" s="225"/>
      <c r="C21" s="225">
        <f>IFERROR(C18-C17,"")</f>
        <v>0</v>
      </c>
      <c r="D21" s="225">
        <f t="shared" ref="D21:V21" si="1">IFERROR(D18-D17,"")</f>
        <v>0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12423</v>
      </c>
      <c r="J21" s="225">
        <f t="shared" si="1"/>
        <v>21264</v>
      </c>
      <c r="K21" s="225">
        <f t="shared" si="1"/>
        <v>0</v>
      </c>
      <c r="L21" s="225">
        <f t="shared" si="1"/>
        <v>0</v>
      </c>
      <c r="M21" s="225">
        <f t="shared" si="1"/>
        <v>0</v>
      </c>
      <c r="N21" s="225">
        <f t="shared" si="1"/>
        <v>0</v>
      </c>
      <c r="O21" s="225">
        <f t="shared" si="1"/>
        <v>18373</v>
      </c>
      <c r="P21" s="225">
        <f t="shared" si="1"/>
        <v>-4230</v>
      </c>
      <c r="Q21" s="225">
        <f t="shared" si="1"/>
        <v>0</v>
      </c>
      <c r="R21" s="225">
        <f t="shared" si="1"/>
        <v>0</v>
      </c>
      <c r="S21" s="225">
        <f t="shared" si="1"/>
        <v>0</v>
      </c>
      <c r="T21" s="225">
        <f t="shared" si="1"/>
        <v>0</v>
      </c>
      <c r="U21" s="225">
        <f t="shared" si="1"/>
        <v>-4230</v>
      </c>
      <c r="V21" s="225">
        <f t="shared" si="1"/>
        <v>0</v>
      </c>
    </row>
    <row r="22" spans="1:22" ht="16.399999999999999" customHeight="1" x14ac:dyDescent="0.35">
      <c r="A22" s="65" t="s">
        <v>2</v>
      </c>
      <c r="B22" s="65"/>
      <c r="C22" s="65">
        <f>AVERAGE(C14,C21)</f>
        <v>0</v>
      </c>
      <c r="D22" s="65">
        <f t="shared" ref="D22:V22" si="2">AVERAGE(D14,D21)</f>
        <v>0</v>
      </c>
      <c r="E22" s="65">
        <f t="shared" si="2"/>
        <v>0</v>
      </c>
      <c r="F22" s="65">
        <f t="shared" si="2"/>
        <v>0</v>
      </c>
      <c r="G22" s="65">
        <f t="shared" si="2"/>
        <v>0</v>
      </c>
      <c r="H22" s="65">
        <f t="shared" si="2"/>
        <v>0</v>
      </c>
      <c r="I22" s="65">
        <f t="shared" si="2"/>
        <v>10632</v>
      </c>
      <c r="J22" s="65">
        <f t="shared" si="2"/>
        <v>10632</v>
      </c>
      <c r="K22" s="65">
        <f t="shared" si="2"/>
        <v>0</v>
      </c>
      <c r="L22" s="65">
        <f t="shared" si="2"/>
        <v>0</v>
      </c>
      <c r="M22" s="65">
        <f t="shared" si="2"/>
        <v>0</v>
      </c>
      <c r="N22" s="65">
        <f t="shared" si="2"/>
        <v>0</v>
      </c>
      <c r="O22" s="65">
        <f t="shared" si="2"/>
        <v>9186.5</v>
      </c>
      <c r="P22" s="65">
        <f t="shared" si="2"/>
        <v>0</v>
      </c>
      <c r="Q22" s="65">
        <f t="shared" si="2"/>
        <v>0</v>
      </c>
      <c r="R22" s="65">
        <f t="shared" si="2"/>
        <v>0</v>
      </c>
      <c r="S22" s="65">
        <f t="shared" si="2"/>
        <v>0</v>
      </c>
      <c r="T22" s="65">
        <f t="shared" si="2"/>
        <v>0</v>
      </c>
      <c r="U22" s="65">
        <f t="shared" si="2"/>
        <v>0</v>
      </c>
      <c r="V22" s="65">
        <f t="shared" si="2"/>
        <v>10632</v>
      </c>
    </row>
    <row r="23" spans="1:22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4"/>
      <c r="O23" s="176">
        <v>43497</v>
      </c>
      <c r="P23" s="154"/>
      <c r="Q23" s="154"/>
      <c r="R23" s="152"/>
      <c r="S23" s="152"/>
      <c r="T23" s="152"/>
      <c r="U23" s="152"/>
      <c r="V23" s="154"/>
    </row>
    <row r="24" spans="1:22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72">
        <v>18373</v>
      </c>
      <c r="P24" s="157"/>
      <c r="Q24" s="157"/>
      <c r="R24" s="157"/>
      <c r="S24" s="157"/>
      <c r="T24" s="157"/>
      <c r="U24" s="157"/>
      <c r="V24" s="157"/>
    </row>
    <row r="25" spans="1:22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72">
        <v>0</v>
      </c>
      <c r="P25" s="157"/>
      <c r="Q25" s="157"/>
      <c r="R25" s="157"/>
      <c r="S25" s="157"/>
      <c r="T25" s="157"/>
      <c r="U25" s="157"/>
      <c r="V25" s="157"/>
    </row>
    <row r="26" spans="1:22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/>
      <c r="O26" s="176">
        <v>43617</v>
      </c>
      <c r="P26" s="157"/>
      <c r="Q26" s="157"/>
      <c r="R26" s="157"/>
      <c r="S26" s="157"/>
      <c r="T26" s="157"/>
      <c r="U26" s="157"/>
      <c r="V26" s="157"/>
    </row>
    <row r="27" spans="1:22" ht="29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62" t="s">
        <v>166</v>
      </c>
      <c r="P27" s="157"/>
      <c r="Q27" s="157"/>
      <c r="R27" s="157"/>
      <c r="S27" s="157"/>
      <c r="T27" s="157"/>
      <c r="U27" s="157"/>
      <c r="V27" s="157"/>
    </row>
    <row r="28" spans="1:22" x14ac:dyDescent="0.35">
      <c r="A28" s="225" t="s">
        <v>167</v>
      </c>
      <c r="B28" s="225"/>
      <c r="C28" s="225">
        <f>IFERROR(C25-C24,"")</f>
        <v>0</v>
      </c>
      <c r="D28" s="225">
        <f t="shared" ref="D28:V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0</v>
      </c>
      <c r="O28" s="225">
        <f t="shared" si="3"/>
        <v>-18373</v>
      </c>
      <c r="P28" s="225">
        <f t="shared" si="3"/>
        <v>0</v>
      </c>
      <c r="Q28" s="225">
        <f t="shared" si="3"/>
        <v>0</v>
      </c>
      <c r="R28" s="225">
        <f t="shared" si="3"/>
        <v>0</v>
      </c>
      <c r="S28" s="225">
        <f t="shared" si="3"/>
        <v>0</v>
      </c>
      <c r="T28" s="225">
        <f t="shared" si="3"/>
        <v>0</v>
      </c>
      <c r="U28" s="225">
        <f t="shared" si="3"/>
        <v>0</v>
      </c>
      <c r="V28" s="225">
        <f t="shared" si="3"/>
        <v>0</v>
      </c>
    </row>
    <row r="29" spans="1:22" ht="16.399999999999999" customHeight="1" x14ac:dyDescent="0.35">
      <c r="A29" s="65" t="s">
        <v>2</v>
      </c>
      <c r="B29" s="65"/>
      <c r="C29" s="65">
        <f>AVERAGE(C21,C28,C14)</f>
        <v>0</v>
      </c>
      <c r="D29" s="65">
        <f t="shared" ref="D29:V29" si="4">AVERAGE(D21,D28,D14)</f>
        <v>0</v>
      </c>
      <c r="E29" s="65">
        <f t="shared" si="4"/>
        <v>0</v>
      </c>
      <c r="F29" s="65">
        <f t="shared" si="4"/>
        <v>0</v>
      </c>
      <c r="G29" s="65">
        <f t="shared" si="4"/>
        <v>0</v>
      </c>
      <c r="H29" s="65">
        <f t="shared" si="4"/>
        <v>0</v>
      </c>
      <c r="I29" s="65">
        <f t="shared" si="4"/>
        <v>7088</v>
      </c>
      <c r="J29" s="65">
        <f t="shared" si="4"/>
        <v>7088</v>
      </c>
      <c r="K29" s="65">
        <f t="shared" si="4"/>
        <v>0</v>
      </c>
      <c r="L29" s="65">
        <f t="shared" si="4"/>
        <v>0</v>
      </c>
      <c r="M29" s="65">
        <f t="shared" si="4"/>
        <v>0</v>
      </c>
      <c r="N29" s="65">
        <f t="shared" si="4"/>
        <v>0</v>
      </c>
      <c r="O29" s="65">
        <f t="shared" si="4"/>
        <v>0</v>
      </c>
      <c r="P29" s="65">
        <f t="shared" si="4"/>
        <v>0</v>
      </c>
      <c r="Q29" s="65">
        <f t="shared" si="4"/>
        <v>0</v>
      </c>
      <c r="R29" s="65">
        <f t="shared" si="4"/>
        <v>0</v>
      </c>
      <c r="S29" s="65">
        <f t="shared" si="4"/>
        <v>0</v>
      </c>
      <c r="T29" s="65">
        <f t="shared" si="4"/>
        <v>0</v>
      </c>
      <c r="U29" s="65">
        <f t="shared" si="4"/>
        <v>0</v>
      </c>
      <c r="V29" s="65">
        <f t="shared" si="4"/>
        <v>7088</v>
      </c>
    </row>
    <row r="30" spans="1:22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4"/>
      <c r="O30" s="154"/>
      <c r="P30" s="154"/>
      <c r="Q30" s="154"/>
      <c r="R30" s="152"/>
      <c r="S30" s="152"/>
      <c r="T30" s="152"/>
      <c r="U30" s="152"/>
      <c r="V30" s="154"/>
    </row>
    <row r="31" spans="1:22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</row>
    <row r="32" spans="1:22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</row>
    <row r="33" spans="1:22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</row>
    <row r="34" spans="1:22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</row>
    <row r="35" spans="1:22" x14ac:dyDescent="0.35">
      <c r="A35" s="225" t="s">
        <v>167</v>
      </c>
      <c r="B35" s="225"/>
      <c r="C35" s="225">
        <f>IFERROR(C32-C31,"")</f>
        <v>0</v>
      </c>
      <c r="D35" s="225">
        <f t="shared" ref="D35:V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0</v>
      </c>
      <c r="P35" s="225">
        <f t="shared" si="5"/>
        <v>0</v>
      </c>
      <c r="Q35" s="225">
        <f t="shared" si="5"/>
        <v>0</v>
      </c>
      <c r="R35" s="225">
        <f t="shared" si="5"/>
        <v>0</v>
      </c>
      <c r="S35" s="225">
        <f t="shared" si="5"/>
        <v>0</v>
      </c>
      <c r="T35" s="225">
        <f t="shared" si="5"/>
        <v>0</v>
      </c>
      <c r="U35" s="225">
        <f t="shared" si="5"/>
        <v>0</v>
      </c>
      <c r="V35" s="225">
        <f t="shared" si="5"/>
        <v>0</v>
      </c>
    </row>
    <row r="36" spans="1:22" ht="16.399999999999999" customHeight="1" x14ac:dyDescent="0.35">
      <c r="A36" s="65" t="s">
        <v>2</v>
      </c>
      <c r="B36" s="65"/>
      <c r="C36" s="65">
        <f>AVERAGE(C28,C35,C21,C14)</f>
        <v>0</v>
      </c>
      <c r="D36" s="65">
        <f t="shared" ref="D36:V36" si="6">AVERAGE(D28,D35,D21,D14)</f>
        <v>0</v>
      </c>
      <c r="E36" s="65">
        <f t="shared" si="6"/>
        <v>0</v>
      </c>
      <c r="F36" s="65">
        <f t="shared" si="6"/>
        <v>0</v>
      </c>
      <c r="G36" s="65">
        <f t="shared" si="6"/>
        <v>0</v>
      </c>
      <c r="H36" s="65">
        <f t="shared" si="6"/>
        <v>0</v>
      </c>
      <c r="I36" s="65">
        <f t="shared" si="6"/>
        <v>5316</v>
      </c>
      <c r="J36" s="65">
        <f t="shared" si="6"/>
        <v>5316</v>
      </c>
      <c r="K36" s="65">
        <f t="shared" si="6"/>
        <v>0</v>
      </c>
      <c r="L36" s="65">
        <f t="shared" si="6"/>
        <v>0</v>
      </c>
      <c r="M36" s="65">
        <f t="shared" si="6"/>
        <v>0</v>
      </c>
      <c r="N36" s="65">
        <f t="shared" si="6"/>
        <v>0</v>
      </c>
      <c r="O36" s="65">
        <f t="shared" si="6"/>
        <v>0</v>
      </c>
      <c r="P36" s="65">
        <f t="shared" si="6"/>
        <v>0</v>
      </c>
      <c r="Q36" s="65">
        <f t="shared" si="6"/>
        <v>0</v>
      </c>
      <c r="R36" s="65">
        <f t="shared" si="6"/>
        <v>0</v>
      </c>
      <c r="S36" s="65">
        <f t="shared" si="6"/>
        <v>0</v>
      </c>
      <c r="T36" s="65">
        <f t="shared" si="6"/>
        <v>0</v>
      </c>
      <c r="U36" s="65">
        <f t="shared" si="6"/>
        <v>0</v>
      </c>
      <c r="V36" s="65">
        <f t="shared" si="6"/>
        <v>5316</v>
      </c>
    </row>
    <row r="37" spans="1:22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4"/>
      <c r="O37" s="154"/>
      <c r="P37" s="154"/>
      <c r="Q37" s="154"/>
      <c r="R37" s="152"/>
      <c r="S37" s="152"/>
      <c r="T37" s="152"/>
      <c r="U37" s="152"/>
      <c r="V37" s="154"/>
    </row>
    <row r="38" spans="1:22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</row>
    <row r="39" spans="1:22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</row>
    <row r="40" spans="1:22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</row>
    <row r="41" spans="1:22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</row>
    <row r="42" spans="1:22" x14ac:dyDescent="0.35">
      <c r="A42" s="225" t="s">
        <v>167</v>
      </c>
      <c r="B42" s="225"/>
      <c r="C42" s="225">
        <f>IFERROR(C39-C38,"")</f>
        <v>0</v>
      </c>
      <c r="D42" s="225">
        <f t="shared" ref="D42:V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0</v>
      </c>
      <c r="P42" s="225">
        <f t="shared" si="7"/>
        <v>0</v>
      </c>
      <c r="Q42" s="225">
        <f t="shared" si="7"/>
        <v>0</v>
      </c>
      <c r="R42" s="225">
        <f t="shared" si="7"/>
        <v>0</v>
      </c>
      <c r="S42" s="225">
        <f t="shared" si="7"/>
        <v>0</v>
      </c>
      <c r="T42" s="225">
        <f t="shared" si="7"/>
        <v>0</v>
      </c>
      <c r="U42" s="225">
        <f t="shared" si="7"/>
        <v>0</v>
      </c>
      <c r="V42" s="225">
        <f t="shared" si="7"/>
        <v>0</v>
      </c>
    </row>
    <row r="43" spans="1:22" ht="16.399999999999999" customHeight="1" x14ac:dyDescent="0.35">
      <c r="A43" s="65" t="s">
        <v>2</v>
      </c>
      <c r="B43" s="65"/>
      <c r="C43" s="65">
        <f>AVERAGE(C35,C42,C28,C21,C14)</f>
        <v>0</v>
      </c>
      <c r="D43" s="65">
        <f t="shared" ref="D43:V43" si="8">AVERAGE(D35,D42,D28,D21,D14)</f>
        <v>0</v>
      </c>
      <c r="E43" s="65">
        <f t="shared" si="8"/>
        <v>0</v>
      </c>
      <c r="F43" s="65">
        <f t="shared" si="8"/>
        <v>0</v>
      </c>
      <c r="G43" s="65">
        <f t="shared" si="8"/>
        <v>0</v>
      </c>
      <c r="H43" s="65">
        <f t="shared" si="8"/>
        <v>0</v>
      </c>
      <c r="I43" s="65">
        <f t="shared" si="8"/>
        <v>4252.8</v>
      </c>
      <c r="J43" s="65">
        <f t="shared" si="8"/>
        <v>4252.8</v>
      </c>
      <c r="K43" s="65">
        <f t="shared" si="8"/>
        <v>0</v>
      </c>
      <c r="L43" s="65">
        <f t="shared" si="8"/>
        <v>0</v>
      </c>
      <c r="M43" s="65">
        <f t="shared" si="8"/>
        <v>0</v>
      </c>
      <c r="N43" s="65">
        <f t="shared" si="8"/>
        <v>0</v>
      </c>
      <c r="O43" s="65">
        <f t="shared" si="8"/>
        <v>0</v>
      </c>
      <c r="P43" s="65">
        <f t="shared" si="8"/>
        <v>0</v>
      </c>
      <c r="Q43" s="65">
        <f t="shared" si="8"/>
        <v>0</v>
      </c>
      <c r="R43" s="65">
        <f t="shared" si="8"/>
        <v>0</v>
      </c>
      <c r="S43" s="65">
        <f t="shared" si="8"/>
        <v>0</v>
      </c>
      <c r="T43" s="65">
        <f t="shared" si="8"/>
        <v>0</v>
      </c>
      <c r="U43" s="65">
        <f t="shared" si="8"/>
        <v>0</v>
      </c>
      <c r="V43" s="65">
        <f t="shared" si="8"/>
        <v>4252.8</v>
      </c>
    </row>
    <row r="44" spans="1:22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4"/>
      <c r="O44" s="154"/>
      <c r="P44" s="154"/>
      <c r="Q44" s="154"/>
      <c r="R44" s="152"/>
      <c r="S44" s="152"/>
      <c r="T44" s="152"/>
      <c r="U44" s="152"/>
      <c r="V44" s="154"/>
    </row>
    <row r="45" spans="1:22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</row>
    <row r="46" spans="1:22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</row>
    <row r="47" spans="1:22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</row>
    <row r="48" spans="1:22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</row>
    <row r="49" spans="1:22" x14ac:dyDescent="0.35">
      <c r="A49" s="225" t="s">
        <v>167</v>
      </c>
      <c r="B49" s="225"/>
      <c r="C49" s="225">
        <f>IFERROR(C46-C45,"")</f>
        <v>0</v>
      </c>
      <c r="D49" s="225">
        <f t="shared" ref="D49:V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  <c r="V49" s="225">
        <f t="shared" si="9"/>
        <v>0</v>
      </c>
    </row>
    <row r="50" spans="1:22" ht="16.399999999999999" customHeight="1" x14ac:dyDescent="0.35">
      <c r="A50" s="65" t="s">
        <v>2</v>
      </c>
      <c r="B50" s="65"/>
      <c r="C50" s="65">
        <f>AVERAGE(C42,C49,C35,C28,C21,C14)</f>
        <v>0</v>
      </c>
      <c r="D50" s="65">
        <f t="shared" ref="D50:V50" si="10">AVERAGE(D42,D49,D35,D28,D21,D14)</f>
        <v>0</v>
      </c>
      <c r="E50" s="65">
        <f t="shared" si="10"/>
        <v>0</v>
      </c>
      <c r="F50" s="65">
        <f t="shared" si="10"/>
        <v>0</v>
      </c>
      <c r="G50" s="65">
        <f t="shared" si="10"/>
        <v>0</v>
      </c>
      <c r="H50" s="65">
        <f t="shared" si="10"/>
        <v>0</v>
      </c>
      <c r="I50" s="65">
        <f t="shared" si="10"/>
        <v>3544</v>
      </c>
      <c r="J50" s="65">
        <f t="shared" si="10"/>
        <v>3544</v>
      </c>
      <c r="K50" s="65">
        <f t="shared" si="10"/>
        <v>0</v>
      </c>
      <c r="L50" s="65">
        <f t="shared" si="10"/>
        <v>0</v>
      </c>
      <c r="M50" s="65">
        <f t="shared" si="10"/>
        <v>0</v>
      </c>
      <c r="N50" s="65">
        <f t="shared" si="10"/>
        <v>0</v>
      </c>
      <c r="O50" s="65">
        <f t="shared" si="10"/>
        <v>0</v>
      </c>
      <c r="P50" s="65">
        <f t="shared" si="10"/>
        <v>0</v>
      </c>
      <c r="Q50" s="65">
        <f t="shared" si="10"/>
        <v>0</v>
      </c>
      <c r="R50" s="65">
        <f t="shared" si="10"/>
        <v>0</v>
      </c>
      <c r="S50" s="65">
        <f t="shared" si="10"/>
        <v>0</v>
      </c>
      <c r="T50" s="65">
        <f t="shared" si="10"/>
        <v>0</v>
      </c>
      <c r="U50" s="65">
        <f t="shared" si="10"/>
        <v>0</v>
      </c>
      <c r="V50" s="65">
        <f t="shared" si="10"/>
        <v>3544</v>
      </c>
    </row>
    <row r="51" spans="1:22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4"/>
      <c r="O51" s="154"/>
      <c r="P51" s="154"/>
      <c r="Q51" s="154"/>
      <c r="R51" s="152"/>
      <c r="S51" s="152"/>
      <c r="T51" s="152"/>
      <c r="U51" s="152"/>
      <c r="V51" s="154"/>
    </row>
    <row r="52" spans="1:22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</row>
    <row r="53" spans="1:22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</row>
    <row r="54" spans="1:22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</row>
    <row r="55" spans="1:22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</row>
    <row r="56" spans="1:22" x14ac:dyDescent="0.35">
      <c r="A56" s="225" t="s">
        <v>167</v>
      </c>
      <c r="B56" s="225"/>
      <c r="C56" s="225">
        <f>IFERROR(C53-C52,"")</f>
        <v>0</v>
      </c>
      <c r="D56" s="225">
        <f t="shared" ref="D56:V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0</v>
      </c>
      <c r="P56" s="225">
        <f t="shared" si="11"/>
        <v>0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  <c r="V56" s="225">
        <f t="shared" si="11"/>
        <v>0</v>
      </c>
    </row>
    <row r="57" spans="1:22" ht="16.399999999999999" customHeight="1" x14ac:dyDescent="0.35">
      <c r="A57" s="65" t="s">
        <v>2</v>
      </c>
      <c r="B57" s="65"/>
      <c r="C57" s="65">
        <f>AVERAGE(C49,C56,C42,C35,C28,C21,C14)</f>
        <v>0</v>
      </c>
      <c r="D57" s="65">
        <f t="shared" ref="D57:V57" si="12">AVERAGE(D49,D56,D42,D35,D28,D21,D14)</f>
        <v>0</v>
      </c>
      <c r="E57" s="65">
        <f t="shared" si="12"/>
        <v>0</v>
      </c>
      <c r="F57" s="65">
        <f t="shared" si="12"/>
        <v>0</v>
      </c>
      <c r="G57" s="65">
        <f t="shared" si="12"/>
        <v>0</v>
      </c>
      <c r="H57" s="65">
        <f t="shared" si="12"/>
        <v>0</v>
      </c>
      <c r="I57" s="65">
        <f t="shared" si="12"/>
        <v>3037.7142857142858</v>
      </c>
      <c r="J57" s="65">
        <f t="shared" si="12"/>
        <v>3037.7142857142858</v>
      </c>
      <c r="K57" s="65">
        <f t="shared" si="12"/>
        <v>0</v>
      </c>
      <c r="L57" s="65">
        <f t="shared" si="12"/>
        <v>0</v>
      </c>
      <c r="M57" s="65">
        <f t="shared" si="12"/>
        <v>0</v>
      </c>
      <c r="N57" s="65">
        <f t="shared" si="12"/>
        <v>0</v>
      </c>
      <c r="O57" s="65">
        <f t="shared" si="12"/>
        <v>0</v>
      </c>
      <c r="P57" s="65">
        <f t="shared" si="12"/>
        <v>0</v>
      </c>
      <c r="Q57" s="65">
        <f t="shared" si="12"/>
        <v>0</v>
      </c>
      <c r="R57" s="65">
        <f t="shared" si="12"/>
        <v>0</v>
      </c>
      <c r="S57" s="65">
        <f t="shared" si="12"/>
        <v>0</v>
      </c>
      <c r="T57" s="65">
        <f t="shared" si="12"/>
        <v>0</v>
      </c>
      <c r="U57" s="65">
        <f t="shared" si="12"/>
        <v>0</v>
      </c>
      <c r="V57" s="65">
        <f t="shared" si="12"/>
        <v>3037.7142857142858</v>
      </c>
    </row>
    <row r="58" spans="1:22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4"/>
      <c r="O58" s="154"/>
      <c r="P58" s="154"/>
      <c r="Q58" s="154"/>
      <c r="R58" s="152"/>
      <c r="S58" s="152"/>
      <c r="T58" s="152"/>
      <c r="U58" s="152"/>
      <c r="V58" s="154"/>
    </row>
    <row r="59" spans="1:22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</row>
    <row r="60" spans="1:22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</row>
    <row r="61" spans="1:22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</row>
    <row r="62" spans="1:22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</row>
    <row r="63" spans="1:22" x14ac:dyDescent="0.35">
      <c r="A63" s="225" t="s">
        <v>167</v>
      </c>
      <c r="B63" s="225"/>
      <c r="C63" s="225">
        <f>IFERROR(C60-C59,"")</f>
        <v>0</v>
      </c>
      <c r="D63" s="225">
        <f t="shared" ref="D63:V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  <c r="V63" s="225">
        <f t="shared" si="13"/>
        <v>0</v>
      </c>
    </row>
    <row r="64" spans="1:22" ht="16.399999999999999" customHeight="1" x14ac:dyDescent="0.35">
      <c r="A64" s="65" t="s">
        <v>2</v>
      </c>
      <c r="B64" s="65"/>
      <c r="C64" s="65">
        <f>AVERAGE(C56,C63,C49,C42,C35,C28,C21,C14)</f>
        <v>0</v>
      </c>
      <c r="D64" s="65">
        <f t="shared" ref="D64:V64" si="14">AVERAGE(D56,D63,D49,D42,D35,D28,D21,D14)</f>
        <v>0</v>
      </c>
      <c r="E64" s="65">
        <f t="shared" si="14"/>
        <v>0</v>
      </c>
      <c r="F64" s="65">
        <f t="shared" si="14"/>
        <v>0</v>
      </c>
      <c r="G64" s="65">
        <f t="shared" si="14"/>
        <v>0</v>
      </c>
      <c r="H64" s="65">
        <f t="shared" si="14"/>
        <v>0</v>
      </c>
      <c r="I64" s="65">
        <f t="shared" si="14"/>
        <v>2658</v>
      </c>
      <c r="J64" s="65">
        <f t="shared" si="14"/>
        <v>2658</v>
      </c>
      <c r="K64" s="65">
        <f t="shared" si="14"/>
        <v>0</v>
      </c>
      <c r="L64" s="65">
        <f t="shared" si="14"/>
        <v>0</v>
      </c>
      <c r="M64" s="65">
        <f t="shared" si="14"/>
        <v>0</v>
      </c>
      <c r="N64" s="65">
        <f t="shared" si="14"/>
        <v>0</v>
      </c>
      <c r="O64" s="65">
        <f t="shared" si="14"/>
        <v>0</v>
      </c>
      <c r="P64" s="65">
        <f t="shared" si="14"/>
        <v>0</v>
      </c>
      <c r="Q64" s="65">
        <f t="shared" si="14"/>
        <v>0</v>
      </c>
      <c r="R64" s="65">
        <f t="shared" si="14"/>
        <v>0</v>
      </c>
      <c r="S64" s="65">
        <f t="shared" si="14"/>
        <v>0</v>
      </c>
      <c r="T64" s="65">
        <f t="shared" si="14"/>
        <v>0</v>
      </c>
      <c r="U64" s="65">
        <f t="shared" si="14"/>
        <v>0</v>
      </c>
      <c r="V64" s="65">
        <f t="shared" si="14"/>
        <v>2658</v>
      </c>
    </row>
  </sheetData>
  <sheetProtection algorithmName="SHA-512" hashValue="q5jVQKJgR2aw318MTxFW0G0Jh1bX5iUuQleOVFdE4tHUxplXQIA/EnIn1SDLCyLMNon5jsvEvNY3SZ92INdR1A==" saltValue="xWqRy5u9iPn9L186D2pbVQ==" spinCount="100000" sheet="1" objects="1" scenarios="1"/>
  <autoFilter ref="A2:V64" xr:uid="{00000000-0009-0000-0000-000019000000}"/>
  <mergeCells count="2">
    <mergeCell ref="A7:B7"/>
    <mergeCell ref="A8:B8"/>
  </mergeCells>
  <conditionalFormatting sqref="C15 F15:V15">
    <cfRule type="expression" dxfId="551" priority="55">
      <formula>C15&lt;#REF!</formula>
    </cfRule>
    <cfRule type="expression" dxfId="550" priority="56">
      <formula>C15&gt;#REF!</formula>
    </cfRule>
  </conditionalFormatting>
  <conditionalFormatting sqref="D15">
    <cfRule type="expression" dxfId="549" priority="57">
      <formula>D15&lt;#REF!</formula>
    </cfRule>
    <cfRule type="expression" dxfId="548" priority="58">
      <formula>D15&gt;#REF!</formula>
    </cfRule>
  </conditionalFormatting>
  <conditionalFormatting sqref="E15">
    <cfRule type="expression" dxfId="547" priority="59" stopIfTrue="1">
      <formula>E15&lt;#REF!</formula>
    </cfRule>
    <cfRule type="expression" dxfId="546" priority="60" stopIfTrue="1">
      <formula>E15&gt;#REF!</formula>
    </cfRule>
  </conditionalFormatting>
  <conditionalFormatting sqref="C22:V22">
    <cfRule type="expression" dxfId="545" priority="49">
      <formula>C22&lt;#REF!</formula>
    </cfRule>
    <cfRule type="expression" dxfId="544" priority="50">
      <formula>C22&gt;#REF!</formula>
    </cfRule>
  </conditionalFormatting>
  <conditionalFormatting sqref="D22">
    <cfRule type="expression" dxfId="543" priority="51">
      <formula>D22&lt;#REF!</formula>
    </cfRule>
    <cfRule type="expression" dxfId="542" priority="52">
      <formula>D22&gt;#REF!</formula>
    </cfRule>
  </conditionalFormatting>
  <conditionalFormatting sqref="E22">
    <cfRule type="expression" dxfId="541" priority="53" stopIfTrue="1">
      <formula>E22&lt;#REF!</formula>
    </cfRule>
    <cfRule type="expression" dxfId="540" priority="54" stopIfTrue="1">
      <formula>E22&gt;#REF!</formula>
    </cfRule>
  </conditionalFormatting>
  <conditionalFormatting sqref="F29:V29">
    <cfRule type="expression" dxfId="539" priority="43">
      <formula>F29&lt;#REF!</formula>
    </cfRule>
    <cfRule type="expression" dxfId="538" priority="44">
      <formula>F29&gt;#REF!</formula>
    </cfRule>
  </conditionalFormatting>
  <conditionalFormatting sqref="D29">
    <cfRule type="expression" dxfId="537" priority="45">
      <formula>D29&lt;#REF!</formula>
    </cfRule>
    <cfRule type="expression" dxfId="536" priority="46">
      <formula>D29&gt;#REF!</formula>
    </cfRule>
  </conditionalFormatting>
  <conditionalFormatting sqref="E29">
    <cfRule type="expression" dxfId="535" priority="47" stopIfTrue="1">
      <formula>E29&lt;#REF!</formula>
    </cfRule>
    <cfRule type="expression" dxfId="534" priority="48" stopIfTrue="1">
      <formula>E29&gt;#REF!</formula>
    </cfRule>
  </conditionalFormatting>
  <conditionalFormatting sqref="F36:V36">
    <cfRule type="expression" dxfId="533" priority="37">
      <formula>F36&lt;#REF!</formula>
    </cfRule>
    <cfRule type="expression" dxfId="532" priority="38">
      <formula>F36&gt;#REF!</formula>
    </cfRule>
  </conditionalFormatting>
  <conditionalFormatting sqref="D36">
    <cfRule type="expression" dxfId="531" priority="39">
      <formula>D36&lt;#REF!</formula>
    </cfRule>
    <cfRule type="expression" dxfId="530" priority="40">
      <formula>D36&gt;#REF!</formula>
    </cfRule>
  </conditionalFormatting>
  <conditionalFormatting sqref="E36">
    <cfRule type="expression" dxfId="529" priority="41" stopIfTrue="1">
      <formula>E36&lt;#REF!</formula>
    </cfRule>
    <cfRule type="expression" dxfId="528" priority="42" stopIfTrue="1">
      <formula>E36&gt;#REF!</formula>
    </cfRule>
  </conditionalFormatting>
  <conditionalFormatting sqref="F43:V43">
    <cfRule type="expression" dxfId="527" priority="31">
      <formula>F43&lt;#REF!</formula>
    </cfRule>
    <cfRule type="expression" dxfId="526" priority="32">
      <formula>F43&gt;#REF!</formula>
    </cfRule>
  </conditionalFormatting>
  <conditionalFormatting sqref="D43">
    <cfRule type="expression" dxfId="525" priority="33">
      <formula>D43&lt;#REF!</formula>
    </cfRule>
    <cfRule type="expression" dxfId="524" priority="34">
      <formula>D43&gt;#REF!</formula>
    </cfRule>
  </conditionalFormatting>
  <conditionalFormatting sqref="E43">
    <cfRule type="expression" dxfId="523" priority="35" stopIfTrue="1">
      <formula>E43&lt;#REF!</formula>
    </cfRule>
    <cfRule type="expression" dxfId="522" priority="36" stopIfTrue="1">
      <formula>E43&gt;#REF!</formula>
    </cfRule>
  </conditionalFormatting>
  <conditionalFormatting sqref="F50:V50">
    <cfRule type="expression" dxfId="521" priority="25">
      <formula>F50&lt;#REF!</formula>
    </cfRule>
    <cfRule type="expression" dxfId="520" priority="26">
      <formula>F50&gt;#REF!</formula>
    </cfRule>
  </conditionalFormatting>
  <conditionalFormatting sqref="D50">
    <cfRule type="expression" dxfId="519" priority="27">
      <formula>D50&lt;#REF!</formula>
    </cfRule>
    <cfRule type="expression" dxfId="518" priority="28">
      <formula>D50&gt;#REF!</formula>
    </cfRule>
  </conditionalFormatting>
  <conditionalFormatting sqref="E50">
    <cfRule type="expression" dxfId="517" priority="29" stopIfTrue="1">
      <formula>E50&lt;#REF!</formula>
    </cfRule>
    <cfRule type="expression" dxfId="516" priority="30" stopIfTrue="1">
      <formula>E50&gt;#REF!</formula>
    </cfRule>
  </conditionalFormatting>
  <conditionalFormatting sqref="F57:V57">
    <cfRule type="expression" dxfId="515" priority="19">
      <formula>F57&lt;#REF!</formula>
    </cfRule>
    <cfRule type="expression" dxfId="514" priority="20">
      <formula>F57&gt;#REF!</formula>
    </cfRule>
  </conditionalFormatting>
  <conditionalFormatting sqref="D57">
    <cfRule type="expression" dxfId="513" priority="21">
      <formula>D57&lt;#REF!</formula>
    </cfRule>
    <cfRule type="expression" dxfId="512" priority="22">
      <formula>D57&gt;#REF!</formula>
    </cfRule>
  </conditionalFormatting>
  <conditionalFormatting sqref="E57">
    <cfRule type="expression" dxfId="511" priority="23" stopIfTrue="1">
      <formula>E57&lt;#REF!</formula>
    </cfRule>
    <cfRule type="expression" dxfId="510" priority="24" stopIfTrue="1">
      <formula>E57&gt;#REF!</formula>
    </cfRule>
  </conditionalFormatting>
  <conditionalFormatting sqref="F64:V64">
    <cfRule type="expression" dxfId="509" priority="13">
      <formula>F64&lt;#REF!</formula>
    </cfRule>
    <cfRule type="expression" dxfId="508" priority="14">
      <formula>F64&gt;#REF!</formula>
    </cfRule>
  </conditionalFormatting>
  <conditionalFormatting sqref="D64">
    <cfRule type="expression" dxfId="507" priority="15">
      <formula>D64&lt;#REF!</formula>
    </cfRule>
    <cfRule type="expression" dxfId="506" priority="16">
      <formula>D64&gt;#REF!</formula>
    </cfRule>
  </conditionalFormatting>
  <conditionalFormatting sqref="E64">
    <cfRule type="expression" dxfId="505" priority="17" stopIfTrue="1">
      <formula>E64&lt;#REF!</formula>
    </cfRule>
    <cfRule type="expression" dxfId="504" priority="18" stopIfTrue="1">
      <formula>E64&gt;#REF!</formula>
    </cfRule>
  </conditionalFormatting>
  <conditionalFormatting sqref="C29:V29">
    <cfRule type="expression" dxfId="503" priority="11">
      <formula>C29&lt;#REF!</formula>
    </cfRule>
    <cfRule type="expression" dxfId="502" priority="12">
      <formula>C29&gt;#REF!</formula>
    </cfRule>
  </conditionalFormatting>
  <conditionalFormatting sqref="C36:V36">
    <cfRule type="expression" dxfId="501" priority="9">
      <formula>C36&lt;#REF!</formula>
    </cfRule>
    <cfRule type="expression" dxfId="500" priority="10">
      <formula>C36&gt;#REF!</formula>
    </cfRule>
  </conditionalFormatting>
  <conditionalFormatting sqref="C43:V43">
    <cfRule type="expression" dxfId="499" priority="7">
      <formula>C43&lt;#REF!</formula>
    </cfRule>
    <cfRule type="expression" dxfId="498" priority="8">
      <formula>C43&gt;#REF!</formula>
    </cfRule>
  </conditionalFormatting>
  <conditionalFormatting sqref="C50:V50">
    <cfRule type="expression" dxfId="497" priority="5">
      <formula>C50&lt;#REF!</formula>
    </cfRule>
    <cfRule type="expression" dxfId="496" priority="6">
      <formula>C50&gt;#REF!</formula>
    </cfRule>
  </conditionalFormatting>
  <conditionalFormatting sqref="C57:V57">
    <cfRule type="expression" dxfId="495" priority="3">
      <formula>C57&lt;#REF!</formula>
    </cfRule>
    <cfRule type="expression" dxfId="494" priority="4">
      <formula>C57&gt;#REF!</formula>
    </cfRule>
  </conditionalFormatting>
  <conditionalFormatting sqref="C64:V64">
    <cfRule type="expression" dxfId="493" priority="1">
      <formula>C64&lt;#REF!</formula>
    </cfRule>
    <cfRule type="expression" dxfId="492" priority="2">
      <formula>C64&gt;#REF!</formula>
    </cfRule>
  </conditionalFormatting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6"/>
  <dimension ref="A1:U64"/>
  <sheetViews>
    <sheetView topLeftCell="I32" workbookViewId="0">
      <selection activeCell="P31" sqref="P31"/>
    </sheetView>
  </sheetViews>
  <sheetFormatPr defaultColWidth="8.81640625" defaultRowHeight="14.5" x14ac:dyDescent="0.35"/>
  <cols>
    <col min="1" max="1" width="16.1796875" customWidth="1"/>
    <col min="2" max="2" width="6.1796875" customWidth="1"/>
    <col min="3" max="3" width="16.81640625" bestFit="1" customWidth="1"/>
    <col min="4" max="4" width="17.81640625" bestFit="1" customWidth="1"/>
    <col min="5" max="5" width="2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2" width="17.1796875" bestFit="1" customWidth="1"/>
    <col min="13" max="13" width="18.81640625" bestFit="1" customWidth="1"/>
    <col min="14" max="14" width="18.1796875" bestFit="1" customWidth="1"/>
    <col min="15" max="17" width="17.1796875" bestFit="1" customWidth="1"/>
    <col min="18" max="18" width="20.1796875" bestFit="1" customWidth="1"/>
    <col min="19" max="20" width="17.1796875" bestFit="1" customWidth="1"/>
    <col min="21" max="21" width="20.1796875" bestFit="1" customWidth="1"/>
  </cols>
  <sheetData>
    <row r="1" spans="1:21" ht="15" thickBot="1" x14ac:dyDescent="0.4"/>
    <row r="2" spans="1:21" x14ac:dyDescent="0.35">
      <c r="E2" s="130" t="s">
        <v>470</v>
      </c>
      <c r="F2" s="131"/>
      <c r="G2" s="131" t="s">
        <v>104</v>
      </c>
      <c r="H2" s="131"/>
      <c r="I2" s="132"/>
    </row>
    <row r="3" spans="1:21" x14ac:dyDescent="0.35">
      <c r="E3" s="133"/>
      <c r="F3" s="134" t="s">
        <v>471</v>
      </c>
      <c r="G3" s="135"/>
      <c r="H3" s="134"/>
      <c r="I3" s="136"/>
    </row>
    <row r="4" spans="1:21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21" ht="30.65" customHeight="1" x14ac:dyDescent="0.35">
      <c r="A5" s="141" t="s">
        <v>472</v>
      </c>
      <c r="B5" t="s">
        <v>473</v>
      </c>
    </row>
    <row r="6" spans="1:21" ht="28.4" customHeight="1" x14ac:dyDescent="0.35">
      <c r="A6" s="142" t="s">
        <v>200</v>
      </c>
      <c r="B6" s="169"/>
      <c r="C6" s="142" t="s">
        <v>474</v>
      </c>
      <c r="D6" s="142" t="s">
        <v>475</v>
      </c>
      <c r="E6" s="142" t="s">
        <v>476</v>
      </c>
      <c r="F6" s="142" t="s">
        <v>477</v>
      </c>
      <c r="G6" s="185" t="s">
        <v>478</v>
      </c>
      <c r="H6" s="185" t="s">
        <v>479</v>
      </c>
      <c r="I6" s="185" t="s">
        <v>480</v>
      </c>
      <c r="J6" s="142" t="s">
        <v>481</v>
      </c>
      <c r="K6" s="142" t="s">
        <v>482</v>
      </c>
      <c r="L6" s="142" t="s">
        <v>483</v>
      </c>
      <c r="M6" s="142" t="s">
        <v>484</v>
      </c>
      <c r="N6" s="142" t="s">
        <v>485</v>
      </c>
      <c r="O6" s="142" t="s">
        <v>486</v>
      </c>
      <c r="P6" s="144" t="s">
        <v>487</v>
      </c>
      <c r="Q6" s="144" t="s">
        <v>488</v>
      </c>
      <c r="R6" s="144" t="s">
        <v>489</v>
      </c>
      <c r="S6" s="144" t="s">
        <v>490</v>
      </c>
      <c r="T6" s="144" t="s">
        <v>491</v>
      </c>
      <c r="U6" s="144" t="s">
        <v>492</v>
      </c>
    </row>
    <row r="7" spans="1:21" x14ac:dyDescent="0.35">
      <c r="A7" s="252" t="s">
        <v>137</v>
      </c>
      <c r="B7" s="252"/>
      <c r="C7" s="145" t="s">
        <v>493</v>
      </c>
      <c r="D7" s="145" t="s">
        <v>141</v>
      </c>
      <c r="E7" s="145" t="s">
        <v>494</v>
      </c>
      <c r="F7" s="145" t="s">
        <v>215</v>
      </c>
      <c r="G7" s="145" t="s">
        <v>142</v>
      </c>
      <c r="H7" s="145" t="s">
        <v>143</v>
      </c>
      <c r="I7" s="145" t="s">
        <v>320</v>
      </c>
      <c r="J7" s="145" t="s">
        <v>144</v>
      </c>
      <c r="K7" s="145" t="s">
        <v>495</v>
      </c>
      <c r="L7" s="145" t="s">
        <v>389</v>
      </c>
      <c r="M7" s="145" t="s">
        <v>390</v>
      </c>
      <c r="N7" s="145" t="s">
        <v>391</v>
      </c>
      <c r="O7" s="145" t="s">
        <v>216</v>
      </c>
      <c r="P7" s="145" t="s">
        <v>392</v>
      </c>
      <c r="Q7" s="145" t="s">
        <v>393</v>
      </c>
      <c r="R7" s="145" t="s">
        <v>395</v>
      </c>
      <c r="S7" s="145" t="s">
        <v>217</v>
      </c>
      <c r="T7" s="145" t="s">
        <v>218</v>
      </c>
      <c r="U7" s="145" t="s">
        <v>496</v>
      </c>
    </row>
    <row r="8" spans="1:21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1</v>
      </c>
      <c r="K8" s="147">
        <v>2</v>
      </c>
      <c r="L8" s="147">
        <v>1</v>
      </c>
      <c r="M8" s="147">
        <v>1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4</v>
      </c>
      <c r="U8" s="147">
        <v>1</v>
      </c>
    </row>
    <row r="9" spans="1:21" x14ac:dyDescent="0.35">
      <c r="A9" s="150" t="s">
        <v>159</v>
      </c>
      <c r="B9" s="151"/>
      <c r="C9" s="152"/>
      <c r="D9" s="152"/>
      <c r="E9" s="152"/>
      <c r="F9" s="152"/>
      <c r="G9" s="152"/>
      <c r="H9" s="152"/>
      <c r="I9" s="152"/>
      <c r="J9" s="152"/>
      <c r="K9" s="154"/>
      <c r="L9" s="152"/>
      <c r="M9" s="152"/>
      <c r="N9" s="152"/>
      <c r="O9" s="152"/>
      <c r="P9" s="173" t="s">
        <v>225</v>
      </c>
      <c r="Q9" s="152"/>
      <c r="R9" s="152"/>
      <c r="S9" s="152"/>
      <c r="T9" s="152"/>
      <c r="U9" s="152"/>
    </row>
    <row r="10" spans="1:21" x14ac:dyDescent="0.35">
      <c r="A10" s="155" t="s">
        <v>161</v>
      </c>
      <c r="B10" s="156" t="s">
        <v>162</v>
      </c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72">
        <v>0</v>
      </c>
      <c r="Q10" s="157"/>
      <c r="R10" s="157"/>
      <c r="S10" s="157"/>
      <c r="T10" s="157"/>
      <c r="U10" s="157"/>
    </row>
    <row r="11" spans="1:21" x14ac:dyDescent="0.35">
      <c r="A11" s="155" t="s">
        <v>161</v>
      </c>
      <c r="B11" s="156" t="s">
        <v>163</v>
      </c>
      <c r="C11" s="157"/>
      <c r="D11" s="157"/>
      <c r="E11" s="157"/>
      <c r="F11" s="157"/>
      <c r="G11" s="157"/>
      <c r="H11" s="157"/>
      <c r="I11" s="157">
        <v>22378</v>
      </c>
      <c r="J11" s="157">
        <v>25258</v>
      </c>
      <c r="K11" s="157"/>
      <c r="L11" s="157"/>
      <c r="M11" s="157"/>
      <c r="N11" s="157"/>
      <c r="O11" s="157">
        <v>25258</v>
      </c>
      <c r="P11" s="172">
        <v>0</v>
      </c>
      <c r="Q11" s="157">
        <v>22378</v>
      </c>
      <c r="R11" s="157"/>
      <c r="S11" s="157"/>
      <c r="T11" s="157"/>
      <c r="U11" s="157"/>
    </row>
    <row r="12" spans="1:21" x14ac:dyDescent="0.35">
      <c r="A12" s="155" t="s">
        <v>164</v>
      </c>
      <c r="B12" s="156"/>
      <c r="C12" s="157"/>
      <c r="D12" s="157"/>
      <c r="E12" s="157"/>
      <c r="F12" s="157"/>
      <c r="G12" s="157"/>
      <c r="H12" s="157"/>
      <c r="I12" s="157" t="s">
        <v>497</v>
      </c>
      <c r="J12" s="166">
        <v>44542</v>
      </c>
      <c r="K12" s="157"/>
      <c r="L12" s="157"/>
      <c r="M12" s="157"/>
      <c r="N12" s="157"/>
      <c r="O12" s="250">
        <v>44542</v>
      </c>
      <c r="P12" s="176">
        <v>43497</v>
      </c>
      <c r="Q12" s="157" t="s">
        <v>497</v>
      </c>
      <c r="R12" s="157"/>
      <c r="S12" s="157"/>
      <c r="T12" s="157"/>
      <c r="U12" s="157"/>
    </row>
    <row r="13" spans="1:21" ht="29" x14ac:dyDescent="0.35">
      <c r="A13" s="160" t="s">
        <v>165</v>
      </c>
      <c r="B13" s="161"/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62" t="s">
        <v>166</v>
      </c>
      <c r="Q13" s="157"/>
      <c r="R13" s="157"/>
      <c r="S13" s="157"/>
      <c r="T13" s="157"/>
      <c r="U13" s="157"/>
    </row>
    <row r="14" spans="1:21" x14ac:dyDescent="0.35">
      <c r="A14" s="225" t="s">
        <v>167</v>
      </c>
      <c r="B14" s="225"/>
      <c r="C14" s="225">
        <f>IFERROR(C11-C10,"")</f>
        <v>0</v>
      </c>
      <c r="D14" s="225">
        <f t="shared" ref="D14:U14" si="0">IFERROR(D11-D10,"")</f>
        <v>0</v>
      </c>
      <c r="E14" s="225">
        <f t="shared" si="0"/>
        <v>0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22378</v>
      </c>
      <c r="J14" s="225">
        <f t="shared" si="0"/>
        <v>25258</v>
      </c>
      <c r="K14" s="225">
        <f t="shared" si="0"/>
        <v>0</v>
      </c>
      <c r="L14" s="225">
        <f t="shared" si="0"/>
        <v>0</v>
      </c>
      <c r="M14" s="225">
        <f t="shared" si="0"/>
        <v>0</v>
      </c>
      <c r="N14" s="225">
        <f t="shared" si="0"/>
        <v>0</v>
      </c>
      <c r="O14" s="225">
        <f t="shared" si="0"/>
        <v>25258</v>
      </c>
      <c r="P14" s="225">
        <f t="shared" si="0"/>
        <v>0</v>
      </c>
      <c r="Q14" s="225">
        <f t="shared" si="0"/>
        <v>22378</v>
      </c>
      <c r="R14" s="225">
        <f t="shared" si="0"/>
        <v>0</v>
      </c>
      <c r="S14" s="225">
        <f t="shared" si="0"/>
        <v>0</v>
      </c>
      <c r="T14" s="225">
        <f t="shared" si="0"/>
        <v>0</v>
      </c>
      <c r="U14" s="225">
        <f t="shared" si="0"/>
        <v>0</v>
      </c>
    </row>
    <row r="15" spans="1:21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</row>
    <row r="16" spans="1:21" x14ac:dyDescent="0.35">
      <c r="A16" s="150" t="s">
        <v>159</v>
      </c>
      <c r="B16" s="151"/>
      <c r="C16" s="163"/>
      <c r="D16" s="154"/>
      <c r="E16" s="154"/>
      <c r="F16" s="154"/>
      <c r="G16" s="154"/>
      <c r="H16" s="154"/>
      <c r="I16" s="154"/>
      <c r="J16" s="152"/>
      <c r="K16" s="154"/>
      <c r="L16" s="154"/>
      <c r="M16" s="154"/>
      <c r="N16" s="152"/>
      <c r="O16" s="152"/>
      <c r="P16" s="152">
        <v>43497</v>
      </c>
      <c r="Q16" s="154"/>
      <c r="R16" s="154"/>
      <c r="S16" s="154"/>
      <c r="T16" s="154"/>
      <c r="U16" s="154"/>
    </row>
    <row r="17" spans="1:21" x14ac:dyDescent="0.35">
      <c r="A17" s="155" t="s">
        <v>161</v>
      </c>
      <c r="B17" s="156" t="s">
        <v>162</v>
      </c>
      <c r="C17" s="165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>
        <v>0</v>
      </c>
      <c r="Q17" s="157"/>
      <c r="R17" s="157"/>
      <c r="S17" s="157"/>
      <c r="T17" s="157"/>
      <c r="U17" s="157"/>
    </row>
    <row r="18" spans="1:21" x14ac:dyDescent="0.35">
      <c r="A18" s="155" t="s">
        <v>161</v>
      </c>
      <c r="B18" s="156" t="s">
        <v>163</v>
      </c>
      <c r="C18" s="165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>
        <v>22378</v>
      </c>
      <c r="Q18" s="157"/>
      <c r="R18" s="157"/>
      <c r="S18" s="157"/>
      <c r="T18" s="157"/>
      <c r="U18" s="157"/>
    </row>
    <row r="19" spans="1:21" x14ac:dyDescent="0.35">
      <c r="A19" s="155" t="s">
        <v>164</v>
      </c>
      <c r="B19" s="156"/>
      <c r="C19" s="165"/>
      <c r="D19" s="157"/>
      <c r="E19" s="157"/>
      <c r="F19" s="157"/>
      <c r="G19" s="157"/>
      <c r="H19" s="157"/>
      <c r="I19" s="157"/>
      <c r="J19" s="166"/>
      <c r="K19" s="157"/>
      <c r="L19" s="157"/>
      <c r="M19" s="157"/>
      <c r="N19" s="157"/>
      <c r="O19" s="157"/>
      <c r="P19" s="157" t="s">
        <v>497</v>
      </c>
      <c r="Q19" s="157"/>
      <c r="R19" s="157"/>
      <c r="S19" s="157"/>
      <c r="T19" s="157"/>
      <c r="U19" s="157"/>
    </row>
    <row r="20" spans="1:21" x14ac:dyDescent="0.35">
      <c r="A20" s="160" t="s">
        <v>165</v>
      </c>
      <c r="B20" s="167"/>
      <c r="C20" s="165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</row>
    <row r="21" spans="1:21" x14ac:dyDescent="0.35">
      <c r="A21" s="225" t="s">
        <v>167</v>
      </c>
      <c r="B21" s="225"/>
      <c r="C21" s="225">
        <f>IFERROR(C18-C17,"")</f>
        <v>0</v>
      </c>
      <c r="D21" s="225">
        <f t="shared" ref="D21:U21" si="1">IFERROR(D18-D17,"")</f>
        <v>0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0</v>
      </c>
      <c r="J21" s="225">
        <f t="shared" si="1"/>
        <v>0</v>
      </c>
      <c r="K21" s="225">
        <f t="shared" si="1"/>
        <v>0</v>
      </c>
      <c r="L21" s="225">
        <f t="shared" si="1"/>
        <v>0</v>
      </c>
      <c r="M21" s="225">
        <f t="shared" si="1"/>
        <v>0</v>
      </c>
      <c r="N21" s="225">
        <f t="shared" si="1"/>
        <v>0</v>
      </c>
      <c r="O21" s="225">
        <f t="shared" si="1"/>
        <v>0</v>
      </c>
      <c r="P21" s="225">
        <f t="shared" si="1"/>
        <v>22378</v>
      </c>
      <c r="Q21" s="225">
        <f t="shared" si="1"/>
        <v>0</v>
      </c>
      <c r="R21" s="225">
        <f t="shared" si="1"/>
        <v>0</v>
      </c>
      <c r="S21" s="225">
        <f t="shared" si="1"/>
        <v>0</v>
      </c>
      <c r="T21" s="225">
        <f t="shared" si="1"/>
        <v>0</v>
      </c>
      <c r="U21" s="225">
        <f t="shared" si="1"/>
        <v>0</v>
      </c>
    </row>
    <row r="22" spans="1:21" ht="16.399999999999999" customHeight="1" x14ac:dyDescent="0.35">
      <c r="A22" s="65" t="s">
        <v>2</v>
      </c>
      <c r="B22" s="65"/>
      <c r="C22" s="65">
        <f>AVERAGE(C14,C21)</f>
        <v>0</v>
      </c>
      <c r="D22" s="65">
        <f t="shared" ref="D22:U22" si="2">AVERAGE(D14,D21)</f>
        <v>0</v>
      </c>
      <c r="E22" s="65">
        <f t="shared" si="2"/>
        <v>0</v>
      </c>
      <c r="F22" s="65">
        <f t="shared" si="2"/>
        <v>0</v>
      </c>
      <c r="G22" s="65">
        <f t="shared" si="2"/>
        <v>0</v>
      </c>
      <c r="H22" s="65">
        <f t="shared" si="2"/>
        <v>0</v>
      </c>
      <c r="I22" s="65">
        <f t="shared" si="2"/>
        <v>11189</v>
      </c>
      <c r="J22" s="65">
        <f t="shared" si="2"/>
        <v>12629</v>
      </c>
      <c r="K22" s="65">
        <f t="shared" si="2"/>
        <v>0</v>
      </c>
      <c r="L22" s="65">
        <f t="shared" si="2"/>
        <v>0</v>
      </c>
      <c r="M22" s="65">
        <f t="shared" si="2"/>
        <v>0</v>
      </c>
      <c r="N22" s="65">
        <f t="shared" si="2"/>
        <v>0</v>
      </c>
      <c r="O22" s="65">
        <f t="shared" si="2"/>
        <v>12629</v>
      </c>
      <c r="P22" s="65">
        <f t="shared" si="2"/>
        <v>11189</v>
      </c>
      <c r="Q22" s="65">
        <f t="shared" si="2"/>
        <v>11189</v>
      </c>
      <c r="R22" s="65">
        <f t="shared" si="2"/>
        <v>0</v>
      </c>
      <c r="S22" s="65">
        <f t="shared" si="2"/>
        <v>0</v>
      </c>
      <c r="T22" s="65">
        <f t="shared" si="2"/>
        <v>0</v>
      </c>
      <c r="U22" s="65">
        <f t="shared" si="2"/>
        <v>0</v>
      </c>
    </row>
    <row r="23" spans="1:21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2"/>
      <c r="O23" s="152"/>
      <c r="P23" s="154" t="s">
        <v>497</v>
      </c>
      <c r="Q23" s="154"/>
      <c r="R23" s="154"/>
      <c r="S23" s="154"/>
      <c r="T23" s="154"/>
      <c r="U23" s="154"/>
    </row>
    <row r="24" spans="1:21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>
        <v>22378</v>
      </c>
      <c r="Q24" s="157"/>
      <c r="R24" s="157"/>
      <c r="S24" s="157"/>
      <c r="T24" s="157"/>
      <c r="U24" s="157"/>
    </row>
    <row r="25" spans="1:21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>
        <v>25258</v>
      </c>
      <c r="Q25" s="157"/>
      <c r="R25" s="157"/>
      <c r="S25" s="157"/>
      <c r="T25" s="157"/>
      <c r="U25" s="157"/>
    </row>
    <row r="26" spans="1:21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/>
      <c r="O26" s="157"/>
      <c r="P26" s="250">
        <v>44542</v>
      </c>
      <c r="Q26" s="157"/>
      <c r="R26" s="157"/>
      <c r="S26" s="157"/>
      <c r="T26" s="157"/>
      <c r="U26" s="157"/>
    </row>
    <row r="27" spans="1:21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</row>
    <row r="28" spans="1:21" x14ac:dyDescent="0.35">
      <c r="A28" s="225" t="s">
        <v>167</v>
      </c>
      <c r="B28" s="225"/>
      <c r="C28" s="225">
        <f>IFERROR(C25-C24,"")</f>
        <v>0</v>
      </c>
      <c r="D28" s="225">
        <f t="shared" ref="D28:U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0</v>
      </c>
      <c r="O28" s="225">
        <f t="shared" si="3"/>
        <v>0</v>
      </c>
      <c r="P28" s="225">
        <f t="shared" si="3"/>
        <v>2880</v>
      </c>
      <c r="Q28" s="225">
        <f t="shared" si="3"/>
        <v>0</v>
      </c>
      <c r="R28" s="225">
        <f t="shared" si="3"/>
        <v>0</v>
      </c>
      <c r="S28" s="225">
        <f t="shared" si="3"/>
        <v>0</v>
      </c>
      <c r="T28" s="225">
        <f t="shared" si="3"/>
        <v>0</v>
      </c>
      <c r="U28" s="225">
        <f t="shared" si="3"/>
        <v>0</v>
      </c>
    </row>
    <row r="29" spans="1:21" ht="16.399999999999999" customHeight="1" x14ac:dyDescent="0.35">
      <c r="A29" s="65" t="s">
        <v>2</v>
      </c>
      <c r="B29" s="65"/>
      <c r="C29" s="65">
        <f>AVERAGE(C21,C28,C14)</f>
        <v>0</v>
      </c>
      <c r="D29" s="65">
        <f t="shared" ref="D29:U29" si="4">AVERAGE(D21,D28,D14)</f>
        <v>0</v>
      </c>
      <c r="E29" s="65">
        <f t="shared" si="4"/>
        <v>0</v>
      </c>
      <c r="F29" s="65">
        <f t="shared" si="4"/>
        <v>0</v>
      </c>
      <c r="G29" s="65">
        <f t="shared" si="4"/>
        <v>0</v>
      </c>
      <c r="H29" s="65">
        <f t="shared" si="4"/>
        <v>0</v>
      </c>
      <c r="I29" s="65">
        <f t="shared" si="4"/>
        <v>7459.333333333333</v>
      </c>
      <c r="J29" s="65">
        <f t="shared" si="4"/>
        <v>8419.3333333333339</v>
      </c>
      <c r="K29" s="65">
        <f t="shared" si="4"/>
        <v>0</v>
      </c>
      <c r="L29" s="65">
        <f t="shared" si="4"/>
        <v>0</v>
      </c>
      <c r="M29" s="65">
        <f t="shared" si="4"/>
        <v>0</v>
      </c>
      <c r="N29" s="65">
        <f t="shared" si="4"/>
        <v>0</v>
      </c>
      <c r="O29" s="65">
        <f t="shared" si="4"/>
        <v>8419.3333333333339</v>
      </c>
      <c r="P29" s="65">
        <f t="shared" si="4"/>
        <v>8419.3333333333339</v>
      </c>
      <c r="Q29" s="65">
        <f t="shared" si="4"/>
        <v>7459.333333333333</v>
      </c>
      <c r="R29" s="65">
        <f t="shared" si="4"/>
        <v>0</v>
      </c>
      <c r="S29" s="65">
        <f t="shared" si="4"/>
        <v>0</v>
      </c>
      <c r="T29" s="65">
        <f t="shared" si="4"/>
        <v>0</v>
      </c>
      <c r="U29" s="65">
        <f t="shared" si="4"/>
        <v>0</v>
      </c>
    </row>
    <row r="30" spans="1:21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/>
      <c r="O30" s="152"/>
      <c r="P30" s="154"/>
      <c r="Q30" s="154"/>
      <c r="R30" s="154"/>
      <c r="S30" s="154"/>
      <c r="T30" s="154"/>
      <c r="U30" s="154"/>
    </row>
    <row r="31" spans="1:21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</row>
    <row r="32" spans="1:21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</row>
    <row r="33" spans="1:21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</row>
    <row r="34" spans="1:21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</row>
    <row r="35" spans="1:21" x14ac:dyDescent="0.35">
      <c r="A35" s="225" t="s">
        <v>167</v>
      </c>
      <c r="B35" s="225"/>
      <c r="C35" s="225">
        <f>IFERROR(C32-C31,"")</f>
        <v>0</v>
      </c>
      <c r="D35" s="225">
        <f t="shared" ref="D35:U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0</v>
      </c>
      <c r="P35" s="225">
        <f t="shared" si="5"/>
        <v>0</v>
      </c>
      <c r="Q35" s="225">
        <f t="shared" si="5"/>
        <v>0</v>
      </c>
      <c r="R35" s="225">
        <f t="shared" si="5"/>
        <v>0</v>
      </c>
      <c r="S35" s="225">
        <f t="shared" si="5"/>
        <v>0</v>
      </c>
      <c r="T35" s="225">
        <f t="shared" si="5"/>
        <v>0</v>
      </c>
      <c r="U35" s="225">
        <f t="shared" si="5"/>
        <v>0</v>
      </c>
    </row>
    <row r="36" spans="1:21" ht="16.399999999999999" customHeight="1" x14ac:dyDescent="0.35">
      <c r="A36" s="65" t="s">
        <v>2</v>
      </c>
      <c r="B36" s="65"/>
      <c r="C36" s="65">
        <f>AVERAGE(C28,C35,C21,C14)</f>
        <v>0</v>
      </c>
      <c r="D36" s="65">
        <f t="shared" ref="D36:U36" si="6">AVERAGE(D28,D35,D21,D14)</f>
        <v>0</v>
      </c>
      <c r="E36" s="65">
        <f t="shared" si="6"/>
        <v>0</v>
      </c>
      <c r="F36" s="65">
        <f t="shared" si="6"/>
        <v>0</v>
      </c>
      <c r="G36" s="65">
        <f t="shared" si="6"/>
        <v>0</v>
      </c>
      <c r="H36" s="65">
        <f t="shared" si="6"/>
        <v>0</v>
      </c>
      <c r="I36" s="65">
        <f t="shared" si="6"/>
        <v>5594.5</v>
      </c>
      <c r="J36" s="65">
        <f t="shared" si="6"/>
        <v>6314.5</v>
      </c>
      <c r="K36" s="65">
        <f t="shared" si="6"/>
        <v>0</v>
      </c>
      <c r="L36" s="65">
        <f t="shared" si="6"/>
        <v>0</v>
      </c>
      <c r="M36" s="65">
        <f t="shared" si="6"/>
        <v>0</v>
      </c>
      <c r="N36" s="65">
        <f t="shared" si="6"/>
        <v>0</v>
      </c>
      <c r="O36" s="65">
        <f t="shared" si="6"/>
        <v>6314.5</v>
      </c>
      <c r="P36" s="65">
        <f t="shared" si="6"/>
        <v>6314.5</v>
      </c>
      <c r="Q36" s="65">
        <f t="shared" si="6"/>
        <v>5594.5</v>
      </c>
      <c r="R36" s="65">
        <f t="shared" si="6"/>
        <v>0</v>
      </c>
      <c r="S36" s="65">
        <f t="shared" si="6"/>
        <v>0</v>
      </c>
      <c r="T36" s="65">
        <f t="shared" si="6"/>
        <v>0</v>
      </c>
      <c r="U36" s="65">
        <f t="shared" si="6"/>
        <v>0</v>
      </c>
    </row>
    <row r="37" spans="1:21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52"/>
      <c r="P37" s="154"/>
      <c r="Q37" s="154"/>
      <c r="R37" s="154"/>
      <c r="S37" s="154"/>
      <c r="T37" s="154"/>
      <c r="U37" s="154"/>
    </row>
    <row r="38" spans="1:21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</row>
    <row r="39" spans="1:21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</row>
    <row r="40" spans="1:21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</row>
    <row r="41" spans="1:21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</row>
    <row r="42" spans="1:21" x14ac:dyDescent="0.35">
      <c r="A42" s="225" t="s">
        <v>167</v>
      </c>
      <c r="B42" s="225"/>
      <c r="C42" s="225">
        <f>IFERROR(C39-C38,"")</f>
        <v>0</v>
      </c>
      <c r="D42" s="225">
        <f t="shared" ref="D42:U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0</v>
      </c>
      <c r="P42" s="225">
        <f t="shared" si="7"/>
        <v>0</v>
      </c>
      <c r="Q42" s="225">
        <f t="shared" si="7"/>
        <v>0</v>
      </c>
      <c r="R42" s="225">
        <f t="shared" si="7"/>
        <v>0</v>
      </c>
      <c r="S42" s="225">
        <f t="shared" si="7"/>
        <v>0</v>
      </c>
      <c r="T42" s="225">
        <f t="shared" si="7"/>
        <v>0</v>
      </c>
      <c r="U42" s="225">
        <f t="shared" si="7"/>
        <v>0</v>
      </c>
    </row>
    <row r="43" spans="1:21" ht="16.399999999999999" customHeight="1" x14ac:dyDescent="0.35">
      <c r="A43" s="65" t="s">
        <v>2</v>
      </c>
      <c r="B43" s="65"/>
      <c r="C43" s="65">
        <f>AVERAGE(C35,C42,C28,C21,C14)</f>
        <v>0</v>
      </c>
      <c r="D43" s="65">
        <f t="shared" ref="D43:U43" si="8">AVERAGE(D35,D42,D28,D21,D14)</f>
        <v>0</v>
      </c>
      <c r="E43" s="65">
        <f t="shared" si="8"/>
        <v>0</v>
      </c>
      <c r="F43" s="65">
        <f t="shared" si="8"/>
        <v>0</v>
      </c>
      <c r="G43" s="65">
        <f t="shared" si="8"/>
        <v>0</v>
      </c>
      <c r="H43" s="65">
        <f t="shared" si="8"/>
        <v>0</v>
      </c>
      <c r="I43" s="65">
        <f t="shared" si="8"/>
        <v>4475.6000000000004</v>
      </c>
      <c r="J43" s="65">
        <f t="shared" si="8"/>
        <v>5051.6000000000004</v>
      </c>
      <c r="K43" s="65">
        <f t="shared" si="8"/>
        <v>0</v>
      </c>
      <c r="L43" s="65">
        <f t="shared" si="8"/>
        <v>0</v>
      </c>
      <c r="M43" s="65">
        <f t="shared" si="8"/>
        <v>0</v>
      </c>
      <c r="N43" s="65">
        <f t="shared" si="8"/>
        <v>0</v>
      </c>
      <c r="O43" s="65">
        <f t="shared" si="8"/>
        <v>5051.6000000000004</v>
      </c>
      <c r="P43" s="65">
        <f t="shared" si="8"/>
        <v>5051.6000000000004</v>
      </c>
      <c r="Q43" s="65">
        <f t="shared" si="8"/>
        <v>4475.6000000000004</v>
      </c>
      <c r="R43" s="65">
        <f t="shared" si="8"/>
        <v>0</v>
      </c>
      <c r="S43" s="65">
        <f t="shared" si="8"/>
        <v>0</v>
      </c>
      <c r="T43" s="65">
        <f t="shared" si="8"/>
        <v>0</v>
      </c>
      <c r="U43" s="65">
        <f t="shared" si="8"/>
        <v>0</v>
      </c>
    </row>
    <row r="44" spans="1:21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/>
      <c r="P44" s="154"/>
      <c r="Q44" s="154"/>
      <c r="R44" s="154"/>
      <c r="S44" s="154"/>
      <c r="T44" s="154"/>
      <c r="U44" s="154"/>
    </row>
    <row r="45" spans="1:21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</row>
    <row r="46" spans="1:21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</row>
    <row r="47" spans="1:21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</row>
    <row r="48" spans="1:21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</row>
    <row r="49" spans="1:21" x14ac:dyDescent="0.35">
      <c r="A49" s="225" t="s">
        <v>167</v>
      </c>
      <c r="B49" s="225"/>
      <c r="C49" s="225">
        <f>IFERROR(C46-C45,"")</f>
        <v>0</v>
      </c>
      <c r="D49" s="225">
        <f t="shared" ref="D49:U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</row>
    <row r="50" spans="1:21" ht="16.399999999999999" customHeight="1" x14ac:dyDescent="0.35">
      <c r="A50" s="65" t="s">
        <v>2</v>
      </c>
      <c r="B50" s="65"/>
      <c r="C50" s="65">
        <f>AVERAGE(C42,C49,C35,C28,C21,C14)</f>
        <v>0</v>
      </c>
      <c r="D50" s="65">
        <f t="shared" ref="D50:U50" si="10">AVERAGE(D42,D49,D35,D28,D21,D14)</f>
        <v>0</v>
      </c>
      <c r="E50" s="65">
        <f t="shared" si="10"/>
        <v>0</v>
      </c>
      <c r="F50" s="65">
        <f t="shared" si="10"/>
        <v>0</v>
      </c>
      <c r="G50" s="65">
        <f t="shared" si="10"/>
        <v>0</v>
      </c>
      <c r="H50" s="65">
        <f t="shared" si="10"/>
        <v>0</v>
      </c>
      <c r="I50" s="65">
        <f t="shared" si="10"/>
        <v>3729.6666666666665</v>
      </c>
      <c r="J50" s="65">
        <f t="shared" si="10"/>
        <v>4209.666666666667</v>
      </c>
      <c r="K50" s="65">
        <f t="shared" si="10"/>
        <v>0</v>
      </c>
      <c r="L50" s="65">
        <f t="shared" si="10"/>
        <v>0</v>
      </c>
      <c r="M50" s="65">
        <f t="shared" si="10"/>
        <v>0</v>
      </c>
      <c r="N50" s="65">
        <f t="shared" si="10"/>
        <v>0</v>
      </c>
      <c r="O50" s="65">
        <f t="shared" si="10"/>
        <v>4209.666666666667</v>
      </c>
      <c r="P50" s="65">
        <f t="shared" si="10"/>
        <v>4209.666666666667</v>
      </c>
      <c r="Q50" s="65">
        <f t="shared" si="10"/>
        <v>3729.6666666666665</v>
      </c>
      <c r="R50" s="65">
        <f t="shared" si="10"/>
        <v>0</v>
      </c>
      <c r="S50" s="65">
        <f t="shared" si="10"/>
        <v>0</v>
      </c>
      <c r="T50" s="65">
        <f t="shared" si="10"/>
        <v>0</v>
      </c>
      <c r="U50" s="65">
        <f t="shared" si="10"/>
        <v>0</v>
      </c>
    </row>
    <row r="51" spans="1:21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/>
      <c r="P51" s="154"/>
      <c r="Q51" s="154"/>
      <c r="R51" s="154"/>
      <c r="S51" s="154"/>
      <c r="T51" s="154"/>
      <c r="U51" s="154"/>
    </row>
    <row r="52" spans="1:21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</row>
    <row r="53" spans="1:21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</row>
    <row r="54" spans="1:21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</row>
    <row r="55" spans="1:21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</row>
    <row r="56" spans="1:21" x14ac:dyDescent="0.35">
      <c r="A56" s="225" t="s">
        <v>167</v>
      </c>
      <c r="B56" s="225"/>
      <c r="C56" s="225">
        <f>IFERROR(C53-C52,"")</f>
        <v>0</v>
      </c>
      <c r="D56" s="225">
        <f t="shared" ref="D56:U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0</v>
      </c>
      <c r="P56" s="225">
        <f t="shared" si="11"/>
        <v>0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</row>
    <row r="57" spans="1:21" ht="16.399999999999999" customHeight="1" x14ac:dyDescent="0.35">
      <c r="A57" s="65" t="s">
        <v>2</v>
      </c>
      <c r="B57" s="65"/>
      <c r="C57" s="65">
        <f>AVERAGE(C49,C56,C42,C35,C28,C21,C14)</f>
        <v>0</v>
      </c>
      <c r="D57" s="65">
        <f t="shared" ref="D57:U57" si="12">AVERAGE(D49,D56,D42,D35,D28,D21,D14)</f>
        <v>0</v>
      </c>
      <c r="E57" s="65">
        <f t="shared" si="12"/>
        <v>0</v>
      </c>
      <c r="F57" s="65">
        <f t="shared" si="12"/>
        <v>0</v>
      </c>
      <c r="G57" s="65">
        <f t="shared" si="12"/>
        <v>0</v>
      </c>
      <c r="H57" s="65">
        <f t="shared" si="12"/>
        <v>0</v>
      </c>
      <c r="I57" s="65">
        <f t="shared" si="12"/>
        <v>3196.8571428571427</v>
      </c>
      <c r="J57" s="65">
        <f t="shared" si="12"/>
        <v>3608.2857142857142</v>
      </c>
      <c r="K57" s="65">
        <f t="shared" si="12"/>
        <v>0</v>
      </c>
      <c r="L57" s="65">
        <f t="shared" si="12"/>
        <v>0</v>
      </c>
      <c r="M57" s="65">
        <f t="shared" si="12"/>
        <v>0</v>
      </c>
      <c r="N57" s="65">
        <f t="shared" si="12"/>
        <v>0</v>
      </c>
      <c r="O57" s="65">
        <f t="shared" si="12"/>
        <v>3608.2857142857142</v>
      </c>
      <c r="P57" s="65">
        <f t="shared" si="12"/>
        <v>3608.2857142857142</v>
      </c>
      <c r="Q57" s="65">
        <f t="shared" si="12"/>
        <v>3196.8571428571427</v>
      </c>
      <c r="R57" s="65">
        <f t="shared" si="12"/>
        <v>0</v>
      </c>
      <c r="S57" s="65">
        <f t="shared" si="12"/>
        <v>0</v>
      </c>
      <c r="T57" s="65">
        <f t="shared" si="12"/>
        <v>0</v>
      </c>
      <c r="U57" s="65">
        <f t="shared" si="12"/>
        <v>0</v>
      </c>
    </row>
    <row r="58" spans="1:21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/>
      <c r="P58" s="154"/>
      <c r="Q58" s="154"/>
      <c r="R58" s="154"/>
      <c r="S58" s="154"/>
      <c r="T58" s="154"/>
      <c r="U58" s="154"/>
    </row>
    <row r="59" spans="1:21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</row>
    <row r="60" spans="1:21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</row>
    <row r="61" spans="1:21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</row>
    <row r="62" spans="1:21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</row>
    <row r="63" spans="1:21" x14ac:dyDescent="0.35">
      <c r="A63" s="225" t="s">
        <v>167</v>
      </c>
      <c r="B63" s="225"/>
      <c r="C63" s="225">
        <f>IFERROR(C60-C59,"")</f>
        <v>0</v>
      </c>
      <c r="D63" s="225">
        <f t="shared" ref="D63:U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</row>
    <row r="64" spans="1:21" ht="16.399999999999999" customHeight="1" x14ac:dyDescent="0.35">
      <c r="A64" s="65" t="s">
        <v>2</v>
      </c>
      <c r="B64" s="65"/>
      <c r="C64" s="65">
        <f>AVERAGE(C56,C63,C49,C42,C35,C28,C21,C14)</f>
        <v>0</v>
      </c>
      <c r="D64" s="65">
        <f t="shared" ref="D64:U64" si="14">AVERAGE(D56,D63,D49,D42,D35,D28,D21,D14)</f>
        <v>0</v>
      </c>
      <c r="E64" s="65">
        <f t="shared" si="14"/>
        <v>0</v>
      </c>
      <c r="F64" s="65">
        <f t="shared" si="14"/>
        <v>0</v>
      </c>
      <c r="G64" s="65">
        <f t="shared" si="14"/>
        <v>0</v>
      </c>
      <c r="H64" s="65">
        <f t="shared" si="14"/>
        <v>0</v>
      </c>
      <c r="I64" s="65">
        <f t="shared" si="14"/>
        <v>2797.25</v>
      </c>
      <c r="J64" s="65">
        <f t="shared" si="14"/>
        <v>3157.25</v>
      </c>
      <c r="K64" s="65">
        <f t="shared" si="14"/>
        <v>0</v>
      </c>
      <c r="L64" s="65">
        <f t="shared" si="14"/>
        <v>0</v>
      </c>
      <c r="M64" s="65">
        <f t="shared" si="14"/>
        <v>0</v>
      </c>
      <c r="N64" s="65">
        <f t="shared" si="14"/>
        <v>0</v>
      </c>
      <c r="O64" s="65">
        <f t="shared" si="14"/>
        <v>3157.25</v>
      </c>
      <c r="P64" s="65">
        <f t="shared" si="14"/>
        <v>3157.25</v>
      </c>
      <c r="Q64" s="65">
        <f t="shared" si="14"/>
        <v>2797.25</v>
      </c>
      <c r="R64" s="65">
        <f t="shared" si="14"/>
        <v>0</v>
      </c>
      <c r="S64" s="65">
        <f t="shared" si="14"/>
        <v>0</v>
      </c>
      <c r="T64" s="65">
        <f t="shared" si="14"/>
        <v>0</v>
      </c>
      <c r="U64" s="65">
        <f t="shared" si="14"/>
        <v>0</v>
      </c>
    </row>
  </sheetData>
  <sheetProtection algorithmName="SHA-512" hashValue="JfROhYLbRajtusj03L3eo59skOReA/3LhJN5iwqEuidf5UuaWv/Ulx47bAwP2WhYSo1IqSbCZ9ERYHnpS3/cmw==" saltValue="R6MNyLQntgPPKSnrI+/fIQ==" spinCount="100000" sheet="1" objects="1" scenarios="1"/>
  <autoFilter ref="A2:U64" xr:uid="{00000000-0009-0000-0000-00001A000000}"/>
  <mergeCells count="2">
    <mergeCell ref="A7:B7"/>
    <mergeCell ref="A8:B8"/>
  </mergeCells>
  <conditionalFormatting sqref="C15 F15:U15">
    <cfRule type="expression" dxfId="491" priority="71">
      <formula>C15&lt;#REF!</formula>
    </cfRule>
    <cfRule type="expression" dxfId="490" priority="72">
      <formula>C15&gt;#REF!</formula>
    </cfRule>
  </conditionalFormatting>
  <conditionalFormatting sqref="D15">
    <cfRule type="expression" dxfId="489" priority="73">
      <formula>D15&lt;#REF!</formula>
    </cfRule>
    <cfRule type="expression" dxfId="488" priority="74">
      <formula>D15&gt;#REF!</formula>
    </cfRule>
  </conditionalFormatting>
  <conditionalFormatting sqref="E15">
    <cfRule type="expression" dxfId="487" priority="75" stopIfTrue="1">
      <formula>E15&lt;#REF!</formula>
    </cfRule>
    <cfRule type="expression" dxfId="486" priority="76" stopIfTrue="1">
      <formula>E15&gt;#REF!</formula>
    </cfRule>
  </conditionalFormatting>
  <conditionalFormatting sqref="C22:U22">
    <cfRule type="expression" dxfId="485" priority="63">
      <formula>C22&lt;#REF!</formula>
    </cfRule>
    <cfRule type="expression" dxfId="484" priority="64">
      <formula>C22&gt;#REF!</formula>
    </cfRule>
  </conditionalFormatting>
  <conditionalFormatting sqref="D22">
    <cfRule type="expression" dxfId="483" priority="65">
      <formula>D22&lt;#REF!</formula>
    </cfRule>
    <cfRule type="expression" dxfId="482" priority="66">
      <formula>D22&gt;#REF!</formula>
    </cfRule>
  </conditionalFormatting>
  <conditionalFormatting sqref="E22">
    <cfRule type="expression" dxfId="481" priority="67" stopIfTrue="1">
      <formula>E22&lt;#REF!</formula>
    </cfRule>
    <cfRule type="expression" dxfId="480" priority="68" stopIfTrue="1">
      <formula>E22&gt;#REF!</formula>
    </cfRule>
  </conditionalFormatting>
  <conditionalFormatting sqref="F29:U29">
    <cfRule type="expression" dxfId="479" priority="55">
      <formula>F29&lt;#REF!</formula>
    </cfRule>
    <cfRule type="expression" dxfId="478" priority="56">
      <formula>F29&gt;#REF!</formula>
    </cfRule>
  </conditionalFormatting>
  <conditionalFormatting sqref="D29">
    <cfRule type="expression" dxfId="477" priority="57">
      <formula>D29&lt;#REF!</formula>
    </cfRule>
    <cfRule type="expression" dxfId="476" priority="58">
      <formula>D29&gt;#REF!</formula>
    </cfRule>
  </conditionalFormatting>
  <conditionalFormatting sqref="E29">
    <cfRule type="expression" dxfId="475" priority="59" stopIfTrue="1">
      <formula>E29&lt;#REF!</formula>
    </cfRule>
    <cfRule type="expression" dxfId="474" priority="60" stopIfTrue="1">
      <formula>E29&gt;#REF!</formula>
    </cfRule>
  </conditionalFormatting>
  <conditionalFormatting sqref="F36:U36">
    <cfRule type="expression" dxfId="473" priority="47">
      <formula>F36&lt;#REF!</formula>
    </cfRule>
    <cfRule type="expression" dxfId="472" priority="48">
      <formula>F36&gt;#REF!</formula>
    </cfRule>
  </conditionalFormatting>
  <conditionalFormatting sqref="D36">
    <cfRule type="expression" dxfId="471" priority="49">
      <formula>D36&lt;#REF!</formula>
    </cfRule>
    <cfRule type="expression" dxfId="470" priority="50">
      <formula>D36&gt;#REF!</formula>
    </cfRule>
  </conditionalFormatting>
  <conditionalFormatting sqref="E36">
    <cfRule type="expression" dxfId="469" priority="51" stopIfTrue="1">
      <formula>E36&lt;#REF!</formula>
    </cfRule>
    <cfRule type="expression" dxfId="468" priority="52" stopIfTrue="1">
      <formula>E36&gt;#REF!</formula>
    </cfRule>
  </conditionalFormatting>
  <conditionalFormatting sqref="F43:U43">
    <cfRule type="expression" dxfId="467" priority="39">
      <formula>F43&lt;#REF!</formula>
    </cfRule>
    <cfRule type="expression" dxfId="466" priority="40">
      <formula>F43&gt;#REF!</formula>
    </cfRule>
  </conditionalFormatting>
  <conditionalFormatting sqref="D43">
    <cfRule type="expression" dxfId="465" priority="41">
      <formula>D43&lt;#REF!</formula>
    </cfRule>
    <cfRule type="expression" dxfId="464" priority="42">
      <formula>D43&gt;#REF!</formula>
    </cfRule>
  </conditionalFormatting>
  <conditionalFormatting sqref="E43">
    <cfRule type="expression" dxfId="463" priority="43" stopIfTrue="1">
      <formula>E43&lt;#REF!</formula>
    </cfRule>
    <cfRule type="expression" dxfId="462" priority="44" stopIfTrue="1">
      <formula>E43&gt;#REF!</formula>
    </cfRule>
  </conditionalFormatting>
  <conditionalFormatting sqref="F50:U50">
    <cfRule type="expression" dxfId="461" priority="31">
      <formula>F50&lt;#REF!</formula>
    </cfRule>
    <cfRule type="expression" dxfId="460" priority="32">
      <formula>F50&gt;#REF!</formula>
    </cfRule>
  </conditionalFormatting>
  <conditionalFormatting sqref="D50">
    <cfRule type="expression" dxfId="459" priority="33">
      <formula>D50&lt;#REF!</formula>
    </cfRule>
    <cfRule type="expression" dxfId="458" priority="34">
      <formula>D50&gt;#REF!</formula>
    </cfRule>
  </conditionalFormatting>
  <conditionalFormatting sqref="E50">
    <cfRule type="expression" dxfId="457" priority="35" stopIfTrue="1">
      <formula>E50&lt;#REF!</formula>
    </cfRule>
    <cfRule type="expression" dxfId="456" priority="36" stopIfTrue="1">
      <formula>E50&gt;#REF!</formula>
    </cfRule>
  </conditionalFormatting>
  <conditionalFormatting sqref="F57:U57">
    <cfRule type="expression" dxfId="455" priority="23">
      <formula>F57&lt;#REF!</formula>
    </cfRule>
    <cfRule type="expression" dxfId="454" priority="24">
      <formula>F57&gt;#REF!</formula>
    </cfRule>
  </conditionalFormatting>
  <conditionalFormatting sqref="D57">
    <cfRule type="expression" dxfId="453" priority="25">
      <formula>D57&lt;#REF!</formula>
    </cfRule>
    <cfRule type="expression" dxfId="452" priority="26">
      <formula>D57&gt;#REF!</formula>
    </cfRule>
  </conditionalFormatting>
  <conditionalFormatting sqref="E57">
    <cfRule type="expression" dxfId="451" priority="27" stopIfTrue="1">
      <formula>E57&lt;#REF!</formula>
    </cfRule>
    <cfRule type="expression" dxfId="450" priority="28" stopIfTrue="1">
      <formula>E57&gt;#REF!</formula>
    </cfRule>
  </conditionalFormatting>
  <conditionalFormatting sqref="C36:U36">
    <cfRule type="expression" dxfId="449" priority="9">
      <formula>C36&lt;#REF!</formula>
    </cfRule>
    <cfRule type="expression" dxfId="448" priority="10">
      <formula>C36&gt;#REF!</formula>
    </cfRule>
  </conditionalFormatting>
  <conditionalFormatting sqref="F64:U64">
    <cfRule type="expression" dxfId="447" priority="15">
      <formula>F64&lt;#REF!</formula>
    </cfRule>
    <cfRule type="expression" dxfId="446" priority="16">
      <formula>F64&gt;#REF!</formula>
    </cfRule>
  </conditionalFormatting>
  <conditionalFormatting sqref="D64">
    <cfRule type="expression" dxfId="445" priority="17">
      <formula>D64&lt;#REF!</formula>
    </cfRule>
    <cfRule type="expression" dxfId="444" priority="18">
      <formula>D64&gt;#REF!</formula>
    </cfRule>
  </conditionalFormatting>
  <conditionalFormatting sqref="E64">
    <cfRule type="expression" dxfId="443" priority="19" stopIfTrue="1">
      <formula>E64&lt;#REF!</formula>
    </cfRule>
    <cfRule type="expression" dxfId="442" priority="20" stopIfTrue="1">
      <formula>E64&gt;#REF!</formula>
    </cfRule>
  </conditionalFormatting>
  <conditionalFormatting sqref="C64:U64">
    <cfRule type="expression" dxfId="441" priority="1">
      <formula>C64&lt;#REF!</formula>
    </cfRule>
    <cfRule type="expression" dxfId="440" priority="2">
      <formula>C64&gt;#REF!</formula>
    </cfRule>
  </conditionalFormatting>
  <conditionalFormatting sqref="C29:U29">
    <cfRule type="expression" dxfId="439" priority="11">
      <formula>C29&lt;#REF!</formula>
    </cfRule>
    <cfRule type="expression" dxfId="438" priority="12">
      <formula>C29&gt;#REF!</formula>
    </cfRule>
  </conditionalFormatting>
  <conditionalFormatting sqref="C43:U43">
    <cfRule type="expression" dxfId="437" priority="7">
      <formula>C43&lt;#REF!</formula>
    </cfRule>
    <cfRule type="expression" dxfId="436" priority="8">
      <formula>C43&gt;#REF!</formula>
    </cfRule>
  </conditionalFormatting>
  <conditionalFormatting sqref="C50:U50">
    <cfRule type="expression" dxfId="435" priority="5">
      <formula>C50&lt;#REF!</formula>
    </cfRule>
    <cfRule type="expression" dxfId="434" priority="6">
      <formula>C50&gt;#REF!</formula>
    </cfRule>
  </conditionalFormatting>
  <conditionalFormatting sqref="C57:U57">
    <cfRule type="expression" dxfId="433" priority="3">
      <formula>C57&lt;#REF!</formula>
    </cfRule>
    <cfRule type="expression" dxfId="432" priority="4">
      <formula>C57&gt;#REF!</formula>
    </cfRule>
  </conditionalFormatting>
  <pageMargins left="0.7" right="0.7" top="0.75" bottom="0.75" header="0.3" footer="0.3"/>
  <pageSetup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7"/>
  <dimension ref="A1:U64"/>
  <sheetViews>
    <sheetView workbookViewId="0">
      <selection activeCell="B14" sqref="A14:XFD15"/>
    </sheetView>
  </sheetViews>
  <sheetFormatPr defaultColWidth="8.81640625" defaultRowHeight="14.5" x14ac:dyDescent="0.35"/>
  <cols>
    <col min="1" max="1" width="16.54296875" customWidth="1"/>
    <col min="2" max="2" width="7.1796875" customWidth="1"/>
    <col min="3" max="3" width="17.1796875" bestFit="1" customWidth="1"/>
    <col min="4" max="4" width="17.81640625" bestFit="1" customWidth="1"/>
    <col min="5" max="5" width="2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2" width="17.1796875" bestFit="1" customWidth="1"/>
    <col min="13" max="13" width="18.81640625" bestFit="1" customWidth="1"/>
    <col min="14" max="14" width="18.1796875" bestFit="1" customWidth="1"/>
    <col min="15" max="17" width="17.1796875" bestFit="1" customWidth="1"/>
    <col min="18" max="18" width="20.1796875" bestFit="1" customWidth="1"/>
    <col min="19" max="20" width="17.1796875" bestFit="1" customWidth="1"/>
    <col min="21" max="21" width="20.1796875" bestFit="1" customWidth="1"/>
  </cols>
  <sheetData>
    <row r="1" spans="1:21" ht="15" thickBot="1" x14ac:dyDescent="0.4"/>
    <row r="2" spans="1:21" x14ac:dyDescent="0.35">
      <c r="E2" s="130" t="s">
        <v>498</v>
      </c>
      <c r="F2" s="131"/>
      <c r="G2" s="131" t="s">
        <v>104</v>
      </c>
      <c r="H2" s="131"/>
      <c r="I2" s="132"/>
    </row>
    <row r="3" spans="1:21" x14ac:dyDescent="0.35">
      <c r="E3" s="133"/>
      <c r="F3" s="134" t="s">
        <v>471</v>
      </c>
      <c r="G3" s="135"/>
      <c r="H3" s="134"/>
      <c r="I3" s="136"/>
    </row>
    <row r="4" spans="1:21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21" ht="30.65" customHeight="1" x14ac:dyDescent="0.35">
      <c r="A5" s="141" t="s">
        <v>499</v>
      </c>
      <c r="B5" t="s">
        <v>500</v>
      </c>
    </row>
    <row r="6" spans="1:21" ht="28.4" customHeight="1" x14ac:dyDescent="0.35">
      <c r="A6" s="142" t="s">
        <v>200</v>
      </c>
      <c r="B6" s="169"/>
      <c r="C6" s="142" t="s">
        <v>474</v>
      </c>
      <c r="D6" s="142" t="s">
        <v>475</v>
      </c>
      <c r="E6" s="142" t="s">
        <v>476</v>
      </c>
      <c r="F6" s="142" t="s">
        <v>477</v>
      </c>
      <c r="G6" s="185" t="s">
        <v>478</v>
      </c>
      <c r="H6" s="185" t="s">
        <v>479</v>
      </c>
      <c r="I6" s="185" t="s">
        <v>480</v>
      </c>
      <c r="J6" s="142" t="s">
        <v>481</v>
      </c>
      <c r="K6" s="142" t="s">
        <v>482</v>
      </c>
      <c r="L6" s="142" t="s">
        <v>483</v>
      </c>
      <c r="M6" s="142" t="s">
        <v>484</v>
      </c>
      <c r="N6" s="142" t="s">
        <v>485</v>
      </c>
      <c r="O6" s="142" t="s">
        <v>486</v>
      </c>
      <c r="P6" s="144" t="s">
        <v>487</v>
      </c>
      <c r="Q6" s="144" t="s">
        <v>488</v>
      </c>
      <c r="R6" s="144" t="s">
        <v>489</v>
      </c>
      <c r="S6" s="144" t="s">
        <v>490</v>
      </c>
      <c r="T6" s="144" t="s">
        <v>491</v>
      </c>
      <c r="U6" s="144" t="s">
        <v>492</v>
      </c>
    </row>
    <row r="7" spans="1:21" x14ac:dyDescent="0.35">
      <c r="A7" s="252" t="s">
        <v>137</v>
      </c>
      <c r="B7" s="252"/>
      <c r="C7" s="145" t="s">
        <v>493</v>
      </c>
      <c r="D7" s="145" t="s">
        <v>141</v>
      </c>
      <c r="E7" s="145" t="s">
        <v>494</v>
      </c>
      <c r="F7" s="145" t="s">
        <v>215</v>
      </c>
      <c r="G7" s="145" t="s">
        <v>142</v>
      </c>
      <c r="H7" s="145" t="s">
        <v>143</v>
      </c>
      <c r="I7" s="145" t="s">
        <v>320</v>
      </c>
      <c r="J7" s="145" t="s">
        <v>144</v>
      </c>
      <c r="K7" s="145" t="s">
        <v>495</v>
      </c>
      <c r="L7" s="145" t="s">
        <v>389</v>
      </c>
      <c r="M7" s="145" t="s">
        <v>390</v>
      </c>
      <c r="N7" s="145" t="s">
        <v>391</v>
      </c>
      <c r="O7" s="145" t="s">
        <v>216</v>
      </c>
      <c r="P7" s="145" t="s">
        <v>392</v>
      </c>
      <c r="Q7" s="145" t="s">
        <v>393</v>
      </c>
      <c r="R7" s="145" t="s">
        <v>395</v>
      </c>
      <c r="S7" s="145" t="s">
        <v>217</v>
      </c>
      <c r="T7" s="145" t="s">
        <v>218</v>
      </c>
      <c r="U7" s="145" t="s">
        <v>496</v>
      </c>
    </row>
    <row r="8" spans="1:21" x14ac:dyDescent="0.35">
      <c r="A8" s="253" t="s">
        <v>158</v>
      </c>
      <c r="B8" s="253"/>
      <c r="C8" s="147">
        <v>1</v>
      </c>
      <c r="D8" s="148">
        <v>1</v>
      </c>
      <c r="E8" s="147">
        <v>1</v>
      </c>
      <c r="F8" s="147">
        <v>1</v>
      </c>
      <c r="G8" s="147">
        <v>1</v>
      </c>
      <c r="H8" s="147">
        <v>1</v>
      </c>
      <c r="I8" s="147">
        <v>1</v>
      </c>
      <c r="J8" s="147">
        <v>1</v>
      </c>
      <c r="K8" s="147">
        <v>2</v>
      </c>
      <c r="L8" s="147">
        <v>1</v>
      </c>
      <c r="M8" s="147">
        <v>1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4</v>
      </c>
      <c r="U8" s="147">
        <v>1</v>
      </c>
    </row>
    <row r="9" spans="1:21" x14ac:dyDescent="0.35">
      <c r="A9" s="150" t="s">
        <v>159</v>
      </c>
      <c r="B9" s="151"/>
      <c r="C9" s="152"/>
      <c r="D9" s="152"/>
      <c r="E9" s="152"/>
      <c r="F9" s="152"/>
      <c r="G9" s="152"/>
      <c r="H9" s="152"/>
      <c r="I9" s="152"/>
      <c r="J9" s="152"/>
      <c r="K9" s="154"/>
      <c r="L9" s="152"/>
      <c r="M9" s="152"/>
      <c r="N9" s="152"/>
      <c r="O9" s="152"/>
      <c r="P9" s="152"/>
      <c r="Q9" s="152"/>
      <c r="R9" s="152"/>
      <c r="S9" s="152"/>
      <c r="T9" s="152"/>
      <c r="U9" s="152"/>
    </row>
    <row r="10" spans="1:21" x14ac:dyDescent="0.35">
      <c r="A10" s="155" t="s">
        <v>161</v>
      </c>
      <c r="B10" s="156" t="s">
        <v>162</v>
      </c>
      <c r="C10" s="157"/>
      <c r="D10" s="157"/>
      <c r="E10" s="157"/>
      <c r="F10" s="157"/>
      <c r="G10" s="157"/>
      <c r="H10" s="157"/>
      <c r="I10" s="157"/>
      <c r="J10" s="157"/>
      <c r="K10" s="157"/>
      <c r="L10" s="157"/>
      <c r="M10" s="157"/>
      <c r="N10" s="157"/>
      <c r="O10" s="157"/>
      <c r="P10" s="157"/>
      <c r="Q10" s="157"/>
      <c r="R10" s="157"/>
      <c r="S10" s="157"/>
      <c r="T10" s="157"/>
      <c r="U10" s="157"/>
    </row>
    <row r="11" spans="1:21" x14ac:dyDescent="0.35">
      <c r="A11" s="155" t="s">
        <v>161</v>
      </c>
      <c r="B11" s="156" t="s">
        <v>163</v>
      </c>
      <c r="C11" s="157"/>
      <c r="D11" s="157"/>
      <c r="E11" s="157"/>
      <c r="F11" s="157"/>
      <c r="G11" s="157"/>
      <c r="H11" s="157"/>
      <c r="I11" s="157"/>
      <c r="J11" s="157">
        <v>17127</v>
      </c>
      <c r="K11" s="157">
        <v>17127</v>
      </c>
      <c r="L11" s="157"/>
      <c r="M11" s="157"/>
      <c r="N11" s="157"/>
      <c r="O11" s="157">
        <v>17127</v>
      </c>
      <c r="P11" s="157">
        <v>17127</v>
      </c>
      <c r="Q11" s="157">
        <v>17127</v>
      </c>
      <c r="R11" s="157"/>
      <c r="S11" s="157">
        <v>17127</v>
      </c>
      <c r="T11" s="157">
        <v>17127</v>
      </c>
      <c r="U11" s="157"/>
    </row>
    <row r="12" spans="1:21" x14ac:dyDescent="0.35">
      <c r="A12" s="155" t="s">
        <v>164</v>
      </c>
      <c r="B12" s="156"/>
      <c r="C12" s="157"/>
      <c r="D12" s="157"/>
      <c r="E12" s="157"/>
      <c r="F12" s="157"/>
      <c r="G12" s="157"/>
      <c r="H12" s="157"/>
      <c r="I12" s="157"/>
      <c r="J12" s="166" t="s">
        <v>501</v>
      </c>
      <c r="K12" s="157" t="s">
        <v>502</v>
      </c>
      <c r="L12" s="157"/>
      <c r="M12" s="157"/>
      <c r="N12" s="157"/>
      <c r="O12" s="157" t="s">
        <v>502</v>
      </c>
      <c r="P12" s="157" t="s">
        <v>502</v>
      </c>
      <c r="Q12" s="157" t="s">
        <v>502</v>
      </c>
      <c r="R12" s="157"/>
      <c r="S12" s="157" t="s">
        <v>502</v>
      </c>
      <c r="T12" s="157" t="s">
        <v>502</v>
      </c>
      <c r="U12" s="157"/>
    </row>
    <row r="13" spans="1:21" x14ac:dyDescent="0.35">
      <c r="A13" s="160" t="s">
        <v>165</v>
      </c>
      <c r="B13" s="161"/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</row>
    <row r="14" spans="1:21" x14ac:dyDescent="0.35">
      <c r="A14" s="225" t="s">
        <v>167</v>
      </c>
      <c r="B14" s="225"/>
      <c r="C14" s="225">
        <f>IFERROR(C11-C10,"")</f>
        <v>0</v>
      </c>
      <c r="D14" s="225">
        <f t="shared" ref="D14:U14" si="0">IFERROR(D11-D10,"")</f>
        <v>0</v>
      </c>
      <c r="E14" s="225">
        <f t="shared" si="0"/>
        <v>0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0</v>
      </c>
      <c r="J14" s="225">
        <f t="shared" si="0"/>
        <v>17127</v>
      </c>
      <c r="K14" s="225">
        <f t="shared" si="0"/>
        <v>17127</v>
      </c>
      <c r="L14" s="225">
        <f t="shared" si="0"/>
        <v>0</v>
      </c>
      <c r="M14" s="225">
        <f t="shared" si="0"/>
        <v>0</v>
      </c>
      <c r="N14" s="225">
        <f t="shared" si="0"/>
        <v>0</v>
      </c>
      <c r="O14" s="225">
        <f t="shared" si="0"/>
        <v>17127</v>
      </c>
      <c r="P14" s="225">
        <f t="shared" si="0"/>
        <v>17127</v>
      </c>
      <c r="Q14" s="225">
        <f t="shared" si="0"/>
        <v>17127</v>
      </c>
      <c r="R14" s="225">
        <f t="shared" si="0"/>
        <v>0</v>
      </c>
      <c r="S14" s="225">
        <f t="shared" si="0"/>
        <v>17127</v>
      </c>
      <c r="T14" s="225">
        <f t="shared" si="0"/>
        <v>17127</v>
      </c>
      <c r="U14" s="225">
        <f t="shared" si="0"/>
        <v>0</v>
      </c>
    </row>
    <row r="15" spans="1:21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</row>
    <row r="16" spans="1:21" x14ac:dyDescent="0.35">
      <c r="A16" s="150" t="s">
        <v>159</v>
      </c>
      <c r="B16" s="151"/>
      <c r="C16" s="163"/>
      <c r="D16" s="154"/>
      <c r="E16" s="154"/>
      <c r="F16" s="154"/>
      <c r="G16" s="154"/>
      <c r="H16" s="154"/>
      <c r="I16" s="154"/>
      <c r="J16" s="152"/>
      <c r="K16" s="154"/>
      <c r="L16" s="154"/>
      <c r="M16" s="154"/>
      <c r="N16" s="152"/>
      <c r="O16" s="152"/>
      <c r="P16" s="154"/>
      <c r="Q16" s="154"/>
      <c r="R16" s="154"/>
      <c r="S16" s="154"/>
      <c r="T16" s="154"/>
      <c r="U16" s="154"/>
    </row>
    <row r="17" spans="1:21" x14ac:dyDescent="0.35">
      <c r="A17" s="155" t="s">
        <v>161</v>
      </c>
      <c r="B17" s="156" t="s">
        <v>162</v>
      </c>
      <c r="C17" s="165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</row>
    <row r="18" spans="1:21" x14ac:dyDescent="0.35">
      <c r="A18" s="155" t="s">
        <v>161</v>
      </c>
      <c r="B18" s="156" t="s">
        <v>163</v>
      </c>
      <c r="C18" s="165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</row>
    <row r="19" spans="1:21" x14ac:dyDescent="0.35">
      <c r="A19" s="155" t="s">
        <v>164</v>
      </c>
      <c r="B19" s="156"/>
      <c r="C19" s="165"/>
      <c r="D19" s="157"/>
      <c r="E19" s="157"/>
      <c r="F19" s="157"/>
      <c r="G19" s="157"/>
      <c r="H19" s="157"/>
      <c r="I19" s="157"/>
      <c r="J19" s="166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</row>
    <row r="20" spans="1:21" x14ac:dyDescent="0.35">
      <c r="A20" s="160" t="s">
        <v>165</v>
      </c>
      <c r="B20" s="167"/>
      <c r="C20" s="165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</row>
    <row r="21" spans="1:21" x14ac:dyDescent="0.35">
      <c r="A21" s="225" t="s">
        <v>167</v>
      </c>
      <c r="B21" s="225"/>
      <c r="C21" s="225">
        <f>IFERROR(C18-C17,"")</f>
        <v>0</v>
      </c>
      <c r="D21" s="225">
        <f t="shared" ref="D21:U21" si="1">IFERROR(D18-D17,"")</f>
        <v>0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0</v>
      </c>
      <c r="J21" s="225">
        <f t="shared" si="1"/>
        <v>0</v>
      </c>
      <c r="K21" s="225">
        <f t="shared" si="1"/>
        <v>0</v>
      </c>
      <c r="L21" s="225">
        <f t="shared" si="1"/>
        <v>0</v>
      </c>
      <c r="M21" s="225">
        <f t="shared" si="1"/>
        <v>0</v>
      </c>
      <c r="N21" s="225">
        <f t="shared" si="1"/>
        <v>0</v>
      </c>
      <c r="O21" s="225">
        <f t="shared" si="1"/>
        <v>0</v>
      </c>
      <c r="P21" s="225">
        <f t="shared" si="1"/>
        <v>0</v>
      </c>
      <c r="Q21" s="225">
        <f t="shared" si="1"/>
        <v>0</v>
      </c>
      <c r="R21" s="225">
        <f t="shared" si="1"/>
        <v>0</v>
      </c>
      <c r="S21" s="225">
        <f t="shared" si="1"/>
        <v>0</v>
      </c>
      <c r="T21" s="225">
        <f t="shared" si="1"/>
        <v>0</v>
      </c>
      <c r="U21" s="225">
        <f t="shared" si="1"/>
        <v>0</v>
      </c>
    </row>
    <row r="22" spans="1:21" ht="16.399999999999999" customHeight="1" x14ac:dyDescent="0.35">
      <c r="A22" s="65" t="s">
        <v>2</v>
      </c>
      <c r="B22" s="65"/>
      <c r="C22" s="65">
        <f>AVERAGE(C14,C21)</f>
        <v>0</v>
      </c>
      <c r="D22" s="65">
        <f t="shared" ref="D22:U22" si="2">AVERAGE(D14,D21)</f>
        <v>0</v>
      </c>
      <c r="E22" s="65">
        <f t="shared" si="2"/>
        <v>0</v>
      </c>
      <c r="F22" s="65">
        <f t="shared" si="2"/>
        <v>0</v>
      </c>
      <c r="G22" s="65">
        <f t="shared" si="2"/>
        <v>0</v>
      </c>
      <c r="H22" s="65">
        <f t="shared" si="2"/>
        <v>0</v>
      </c>
      <c r="I22" s="65">
        <f t="shared" si="2"/>
        <v>0</v>
      </c>
      <c r="J22" s="65">
        <f t="shared" si="2"/>
        <v>8563.5</v>
      </c>
      <c r="K22" s="65">
        <f t="shared" si="2"/>
        <v>8563.5</v>
      </c>
      <c r="L22" s="65">
        <f t="shared" si="2"/>
        <v>0</v>
      </c>
      <c r="M22" s="65">
        <f t="shared" si="2"/>
        <v>0</v>
      </c>
      <c r="N22" s="65">
        <f t="shared" si="2"/>
        <v>0</v>
      </c>
      <c r="O22" s="65">
        <f t="shared" si="2"/>
        <v>8563.5</v>
      </c>
      <c r="P22" s="65">
        <f t="shared" si="2"/>
        <v>8563.5</v>
      </c>
      <c r="Q22" s="65">
        <f t="shared" si="2"/>
        <v>8563.5</v>
      </c>
      <c r="R22" s="65">
        <f t="shared" si="2"/>
        <v>0</v>
      </c>
      <c r="S22" s="65">
        <f t="shared" si="2"/>
        <v>8563.5</v>
      </c>
      <c r="T22" s="65">
        <f t="shared" si="2"/>
        <v>8563.5</v>
      </c>
      <c r="U22" s="65">
        <f t="shared" si="2"/>
        <v>0</v>
      </c>
    </row>
    <row r="23" spans="1:21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2"/>
      <c r="O23" s="152"/>
      <c r="P23" s="154"/>
      <c r="Q23" s="154"/>
      <c r="R23" s="154"/>
      <c r="S23" s="154"/>
      <c r="T23" s="154"/>
      <c r="U23" s="154"/>
    </row>
    <row r="24" spans="1:21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</row>
    <row r="25" spans="1:21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</row>
    <row r="26" spans="1:21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</row>
    <row r="27" spans="1:21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</row>
    <row r="28" spans="1:21" x14ac:dyDescent="0.35">
      <c r="A28" s="225" t="s">
        <v>167</v>
      </c>
      <c r="B28" s="225"/>
      <c r="C28" s="225">
        <f>IFERROR(C25-C24,"")</f>
        <v>0</v>
      </c>
      <c r="D28" s="225">
        <f t="shared" ref="D28:U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0</v>
      </c>
      <c r="O28" s="225">
        <f t="shared" si="3"/>
        <v>0</v>
      </c>
      <c r="P28" s="225">
        <f t="shared" si="3"/>
        <v>0</v>
      </c>
      <c r="Q28" s="225">
        <f t="shared" si="3"/>
        <v>0</v>
      </c>
      <c r="R28" s="225">
        <f t="shared" si="3"/>
        <v>0</v>
      </c>
      <c r="S28" s="225">
        <f t="shared" si="3"/>
        <v>0</v>
      </c>
      <c r="T28" s="225">
        <f t="shared" si="3"/>
        <v>0</v>
      </c>
      <c r="U28" s="225">
        <f t="shared" si="3"/>
        <v>0</v>
      </c>
    </row>
    <row r="29" spans="1:21" ht="16.399999999999999" customHeight="1" x14ac:dyDescent="0.35">
      <c r="A29" s="65" t="s">
        <v>2</v>
      </c>
      <c r="B29" s="65"/>
      <c r="C29" s="65">
        <f>AVERAGE(C21,C28,C14)</f>
        <v>0</v>
      </c>
      <c r="D29" s="65">
        <f t="shared" ref="D29:U29" si="4">AVERAGE(D21,D28,D14)</f>
        <v>0</v>
      </c>
      <c r="E29" s="65">
        <f t="shared" si="4"/>
        <v>0</v>
      </c>
      <c r="F29" s="65">
        <f t="shared" si="4"/>
        <v>0</v>
      </c>
      <c r="G29" s="65">
        <f t="shared" si="4"/>
        <v>0</v>
      </c>
      <c r="H29" s="65">
        <f t="shared" si="4"/>
        <v>0</v>
      </c>
      <c r="I29" s="65">
        <f t="shared" si="4"/>
        <v>0</v>
      </c>
      <c r="J29" s="65">
        <f t="shared" si="4"/>
        <v>5709</v>
      </c>
      <c r="K29" s="65">
        <f t="shared" si="4"/>
        <v>5709</v>
      </c>
      <c r="L29" s="65">
        <f t="shared" si="4"/>
        <v>0</v>
      </c>
      <c r="M29" s="65">
        <f t="shared" si="4"/>
        <v>0</v>
      </c>
      <c r="N29" s="65">
        <f t="shared" si="4"/>
        <v>0</v>
      </c>
      <c r="O29" s="65">
        <f t="shared" si="4"/>
        <v>5709</v>
      </c>
      <c r="P29" s="65">
        <f t="shared" si="4"/>
        <v>5709</v>
      </c>
      <c r="Q29" s="65">
        <f t="shared" si="4"/>
        <v>5709</v>
      </c>
      <c r="R29" s="65">
        <f t="shared" si="4"/>
        <v>0</v>
      </c>
      <c r="S29" s="65">
        <f t="shared" si="4"/>
        <v>5709</v>
      </c>
      <c r="T29" s="65">
        <f t="shared" si="4"/>
        <v>5709</v>
      </c>
      <c r="U29" s="65">
        <f t="shared" si="4"/>
        <v>0</v>
      </c>
    </row>
    <row r="30" spans="1:21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/>
      <c r="O30" s="152"/>
      <c r="P30" s="154"/>
      <c r="Q30" s="154"/>
      <c r="R30" s="154"/>
      <c r="S30" s="154"/>
      <c r="T30" s="154"/>
      <c r="U30" s="154"/>
    </row>
    <row r="31" spans="1:21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</row>
    <row r="32" spans="1:21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</row>
    <row r="33" spans="1:21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</row>
    <row r="34" spans="1:21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</row>
    <row r="35" spans="1:21" x14ac:dyDescent="0.35">
      <c r="A35" s="225" t="s">
        <v>167</v>
      </c>
      <c r="B35" s="225"/>
      <c r="C35" s="225">
        <f>IFERROR(C32-C31,"")</f>
        <v>0</v>
      </c>
      <c r="D35" s="225">
        <f t="shared" ref="D35:U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0</v>
      </c>
      <c r="P35" s="225">
        <f t="shared" si="5"/>
        <v>0</v>
      </c>
      <c r="Q35" s="225">
        <f t="shared" si="5"/>
        <v>0</v>
      </c>
      <c r="R35" s="225">
        <f t="shared" si="5"/>
        <v>0</v>
      </c>
      <c r="S35" s="225">
        <f t="shared" si="5"/>
        <v>0</v>
      </c>
      <c r="T35" s="225">
        <f t="shared" si="5"/>
        <v>0</v>
      </c>
      <c r="U35" s="225">
        <f t="shared" si="5"/>
        <v>0</v>
      </c>
    </row>
    <row r="36" spans="1:21" ht="16.399999999999999" customHeight="1" x14ac:dyDescent="0.35">
      <c r="A36" s="65" t="s">
        <v>2</v>
      </c>
      <c r="B36" s="65"/>
      <c r="C36" s="65">
        <f>AVERAGE(C28,C35,C21,C14)</f>
        <v>0</v>
      </c>
      <c r="D36" s="65">
        <f t="shared" ref="D36:U36" si="6">AVERAGE(D28,D35,D21,D14)</f>
        <v>0</v>
      </c>
      <c r="E36" s="65">
        <f t="shared" si="6"/>
        <v>0</v>
      </c>
      <c r="F36" s="65">
        <f t="shared" si="6"/>
        <v>0</v>
      </c>
      <c r="G36" s="65">
        <f t="shared" si="6"/>
        <v>0</v>
      </c>
      <c r="H36" s="65">
        <f t="shared" si="6"/>
        <v>0</v>
      </c>
      <c r="I36" s="65">
        <f t="shared" si="6"/>
        <v>0</v>
      </c>
      <c r="J36" s="65">
        <f t="shared" si="6"/>
        <v>4281.75</v>
      </c>
      <c r="K36" s="65">
        <f t="shared" si="6"/>
        <v>4281.75</v>
      </c>
      <c r="L36" s="65">
        <f t="shared" si="6"/>
        <v>0</v>
      </c>
      <c r="M36" s="65">
        <f t="shared" si="6"/>
        <v>0</v>
      </c>
      <c r="N36" s="65">
        <f t="shared" si="6"/>
        <v>0</v>
      </c>
      <c r="O36" s="65">
        <f t="shared" si="6"/>
        <v>4281.75</v>
      </c>
      <c r="P36" s="65">
        <f t="shared" si="6"/>
        <v>4281.75</v>
      </c>
      <c r="Q36" s="65">
        <f t="shared" si="6"/>
        <v>4281.75</v>
      </c>
      <c r="R36" s="65">
        <f t="shared" si="6"/>
        <v>0</v>
      </c>
      <c r="S36" s="65">
        <f t="shared" si="6"/>
        <v>4281.75</v>
      </c>
      <c r="T36" s="65">
        <f t="shared" si="6"/>
        <v>4281.75</v>
      </c>
      <c r="U36" s="65">
        <f t="shared" si="6"/>
        <v>0</v>
      </c>
    </row>
    <row r="37" spans="1:21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52"/>
      <c r="P37" s="154"/>
      <c r="Q37" s="154"/>
      <c r="R37" s="154"/>
      <c r="S37" s="154"/>
      <c r="T37" s="154"/>
      <c r="U37" s="154"/>
    </row>
    <row r="38" spans="1:21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</row>
    <row r="39" spans="1:21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</row>
    <row r="40" spans="1:21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</row>
    <row r="41" spans="1:21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</row>
    <row r="42" spans="1:21" x14ac:dyDescent="0.35">
      <c r="A42" s="225" t="s">
        <v>167</v>
      </c>
      <c r="B42" s="225"/>
      <c r="C42" s="225">
        <f>IFERROR(C39-C38,"")</f>
        <v>0</v>
      </c>
      <c r="D42" s="225">
        <f t="shared" ref="D42:U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0</v>
      </c>
      <c r="P42" s="225">
        <f t="shared" si="7"/>
        <v>0</v>
      </c>
      <c r="Q42" s="225">
        <f t="shared" si="7"/>
        <v>0</v>
      </c>
      <c r="R42" s="225">
        <f t="shared" si="7"/>
        <v>0</v>
      </c>
      <c r="S42" s="225">
        <f t="shared" si="7"/>
        <v>0</v>
      </c>
      <c r="T42" s="225">
        <f t="shared" si="7"/>
        <v>0</v>
      </c>
      <c r="U42" s="225">
        <f t="shared" si="7"/>
        <v>0</v>
      </c>
    </row>
    <row r="43" spans="1:21" ht="16.399999999999999" customHeight="1" x14ac:dyDescent="0.35">
      <c r="A43" s="65" t="s">
        <v>2</v>
      </c>
      <c r="B43" s="65"/>
      <c r="C43" s="65">
        <f>AVERAGE(C35,C42,C28,C21,C14)</f>
        <v>0</v>
      </c>
      <c r="D43" s="65">
        <f t="shared" ref="D43:U43" si="8">AVERAGE(D35,D42,D28,D21,D14)</f>
        <v>0</v>
      </c>
      <c r="E43" s="65">
        <f t="shared" si="8"/>
        <v>0</v>
      </c>
      <c r="F43" s="65">
        <f t="shared" si="8"/>
        <v>0</v>
      </c>
      <c r="G43" s="65">
        <f t="shared" si="8"/>
        <v>0</v>
      </c>
      <c r="H43" s="65">
        <f t="shared" si="8"/>
        <v>0</v>
      </c>
      <c r="I43" s="65">
        <f t="shared" si="8"/>
        <v>0</v>
      </c>
      <c r="J43" s="65">
        <f t="shared" si="8"/>
        <v>3425.4</v>
      </c>
      <c r="K43" s="65">
        <f t="shared" si="8"/>
        <v>3425.4</v>
      </c>
      <c r="L43" s="65">
        <f t="shared" si="8"/>
        <v>0</v>
      </c>
      <c r="M43" s="65">
        <f t="shared" si="8"/>
        <v>0</v>
      </c>
      <c r="N43" s="65">
        <f t="shared" si="8"/>
        <v>0</v>
      </c>
      <c r="O43" s="65">
        <f t="shared" si="8"/>
        <v>3425.4</v>
      </c>
      <c r="P43" s="65">
        <f t="shared" si="8"/>
        <v>3425.4</v>
      </c>
      <c r="Q43" s="65">
        <f t="shared" si="8"/>
        <v>3425.4</v>
      </c>
      <c r="R43" s="65">
        <f t="shared" si="8"/>
        <v>0</v>
      </c>
      <c r="S43" s="65">
        <f t="shared" si="8"/>
        <v>3425.4</v>
      </c>
      <c r="T43" s="65">
        <f t="shared" si="8"/>
        <v>3425.4</v>
      </c>
      <c r="U43" s="65">
        <f t="shared" si="8"/>
        <v>0</v>
      </c>
    </row>
    <row r="44" spans="1:21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/>
      <c r="P44" s="154"/>
      <c r="Q44" s="154"/>
      <c r="R44" s="154"/>
      <c r="S44" s="154"/>
      <c r="T44" s="154"/>
      <c r="U44" s="154"/>
    </row>
    <row r="45" spans="1:21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</row>
    <row r="46" spans="1:21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</row>
    <row r="47" spans="1:21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</row>
    <row r="48" spans="1:21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</row>
    <row r="49" spans="1:21" x14ac:dyDescent="0.35">
      <c r="A49" s="225" t="s">
        <v>167</v>
      </c>
      <c r="B49" s="225"/>
      <c r="C49" s="225">
        <f>IFERROR(C46-C45,"")</f>
        <v>0</v>
      </c>
      <c r="D49" s="225">
        <f t="shared" ref="D49:U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</row>
    <row r="50" spans="1:21" ht="16.399999999999999" customHeight="1" x14ac:dyDescent="0.35">
      <c r="A50" s="65" t="s">
        <v>2</v>
      </c>
      <c r="B50" s="65"/>
      <c r="C50" s="65">
        <f>AVERAGE(C42,C49,C35,C28,C21,C14)</f>
        <v>0</v>
      </c>
      <c r="D50" s="65">
        <f t="shared" ref="D50:U50" si="10">AVERAGE(D42,D49,D35,D28,D21,D14)</f>
        <v>0</v>
      </c>
      <c r="E50" s="65">
        <f t="shared" si="10"/>
        <v>0</v>
      </c>
      <c r="F50" s="65">
        <f t="shared" si="10"/>
        <v>0</v>
      </c>
      <c r="G50" s="65">
        <f t="shared" si="10"/>
        <v>0</v>
      </c>
      <c r="H50" s="65">
        <f t="shared" si="10"/>
        <v>0</v>
      </c>
      <c r="I50" s="65">
        <f t="shared" si="10"/>
        <v>0</v>
      </c>
      <c r="J50" s="65">
        <f t="shared" si="10"/>
        <v>2854.5</v>
      </c>
      <c r="K50" s="65">
        <f t="shared" si="10"/>
        <v>2854.5</v>
      </c>
      <c r="L50" s="65">
        <f t="shared" si="10"/>
        <v>0</v>
      </c>
      <c r="M50" s="65">
        <f t="shared" si="10"/>
        <v>0</v>
      </c>
      <c r="N50" s="65">
        <f t="shared" si="10"/>
        <v>0</v>
      </c>
      <c r="O50" s="65">
        <f t="shared" si="10"/>
        <v>2854.5</v>
      </c>
      <c r="P50" s="65">
        <f t="shared" si="10"/>
        <v>2854.5</v>
      </c>
      <c r="Q50" s="65">
        <f t="shared" si="10"/>
        <v>2854.5</v>
      </c>
      <c r="R50" s="65">
        <f t="shared" si="10"/>
        <v>0</v>
      </c>
      <c r="S50" s="65">
        <f t="shared" si="10"/>
        <v>2854.5</v>
      </c>
      <c r="T50" s="65">
        <f t="shared" si="10"/>
        <v>2854.5</v>
      </c>
      <c r="U50" s="65">
        <f t="shared" si="10"/>
        <v>0</v>
      </c>
    </row>
    <row r="51" spans="1:21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/>
      <c r="P51" s="154"/>
      <c r="Q51" s="154"/>
      <c r="R51" s="154"/>
      <c r="S51" s="154"/>
      <c r="T51" s="154"/>
      <c r="U51" s="154"/>
    </row>
    <row r="52" spans="1:21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</row>
    <row r="53" spans="1:21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</row>
    <row r="54" spans="1:21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</row>
    <row r="55" spans="1:21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</row>
    <row r="56" spans="1:21" x14ac:dyDescent="0.35">
      <c r="A56" s="225" t="s">
        <v>167</v>
      </c>
      <c r="B56" s="225"/>
      <c r="C56" s="225">
        <f>IFERROR(C53-C52,"")</f>
        <v>0</v>
      </c>
      <c r="D56" s="225">
        <f t="shared" ref="D56:U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0</v>
      </c>
      <c r="P56" s="225">
        <f t="shared" si="11"/>
        <v>0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</row>
    <row r="57" spans="1:21" ht="16.399999999999999" customHeight="1" x14ac:dyDescent="0.35">
      <c r="A57" s="65" t="s">
        <v>2</v>
      </c>
      <c r="B57" s="65"/>
      <c r="C57" s="65">
        <f>AVERAGE(C49,C56,C42,C35,C28,C21,C14)</f>
        <v>0</v>
      </c>
      <c r="D57" s="65">
        <f t="shared" ref="D57:U57" si="12">AVERAGE(D49,D56,D42,D35,D28,D21,D14)</f>
        <v>0</v>
      </c>
      <c r="E57" s="65">
        <f t="shared" si="12"/>
        <v>0</v>
      </c>
      <c r="F57" s="65">
        <f t="shared" si="12"/>
        <v>0</v>
      </c>
      <c r="G57" s="65">
        <f t="shared" si="12"/>
        <v>0</v>
      </c>
      <c r="H57" s="65">
        <f t="shared" si="12"/>
        <v>0</v>
      </c>
      <c r="I57" s="65">
        <f t="shared" si="12"/>
        <v>0</v>
      </c>
      <c r="J57" s="65">
        <f t="shared" si="12"/>
        <v>2446.7142857142858</v>
      </c>
      <c r="K57" s="65">
        <f t="shared" si="12"/>
        <v>2446.7142857142858</v>
      </c>
      <c r="L57" s="65">
        <f t="shared" si="12"/>
        <v>0</v>
      </c>
      <c r="M57" s="65">
        <f t="shared" si="12"/>
        <v>0</v>
      </c>
      <c r="N57" s="65">
        <f t="shared" si="12"/>
        <v>0</v>
      </c>
      <c r="O57" s="65">
        <f t="shared" si="12"/>
        <v>2446.7142857142858</v>
      </c>
      <c r="P57" s="65">
        <f t="shared" si="12"/>
        <v>2446.7142857142858</v>
      </c>
      <c r="Q57" s="65">
        <f t="shared" si="12"/>
        <v>2446.7142857142858</v>
      </c>
      <c r="R57" s="65">
        <f t="shared" si="12"/>
        <v>0</v>
      </c>
      <c r="S57" s="65">
        <f t="shared" si="12"/>
        <v>2446.7142857142858</v>
      </c>
      <c r="T57" s="65">
        <f t="shared" si="12"/>
        <v>2446.7142857142858</v>
      </c>
      <c r="U57" s="65">
        <f t="shared" si="12"/>
        <v>0</v>
      </c>
    </row>
    <row r="58" spans="1:21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/>
      <c r="P58" s="154"/>
      <c r="Q58" s="154"/>
      <c r="R58" s="154"/>
      <c r="S58" s="154"/>
      <c r="T58" s="154"/>
      <c r="U58" s="154"/>
    </row>
    <row r="59" spans="1:21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</row>
    <row r="60" spans="1:21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</row>
    <row r="61" spans="1:21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</row>
    <row r="62" spans="1:21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</row>
    <row r="63" spans="1:21" x14ac:dyDescent="0.35">
      <c r="A63" s="225" t="s">
        <v>167</v>
      </c>
      <c r="B63" s="225"/>
      <c r="C63" s="225">
        <f>IFERROR(C60-C59,"")</f>
        <v>0</v>
      </c>
      <c r="D63" s="225">
        <f t="shared" ref="D63:U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</row>
    <row r="64" spans="1:21" ht="16.399999999999999" customHeight="1" x14ac:dyDescent="0.35">
      <c r="A64" s="65" t="s">
        <v>2</v>
      </c>
      <c r="B64" s="65"/>
      <c r="C64" s="65">
        <f>AVERAGE(C56,C63,C49,C42,C35,C28,C21,C14)</f>
        <v>0</v>
      </c>
      <c r="D64" s="65">
        <f t="shared" ref="D64:U64" si="14">AVERAGE(D56,D63,D49,D42,D35,D28,D21,D14)</f>
        <v>0</v>
      </c>
      <c r="E64" s="65">
        <f t="shared" si="14"/>
        <v>0</v>
      </c>
      <c r="F64" s="65">
        <f t="shared" si="14"/>
        <v>0</v>
      </c>
      <c r="G64" s="65">
        <f t="shared" si="14"/>
        <v>0</v>
      </c>
      <c r="H64" s="65">
        <f t="shared" si="14"/>
        <v>0</v>
      </c>
      <c r="I64" s="65">
        <f t="shared" si="14"/>
        <v>0</v>
      </c>
      <c r="J64" s="65">
        <f t="shared" si="14"/>
        <v>2140.875</v>
      </c>
      <c r="K64" s="65">
        <f t="shared" si="14"/>
        <v>2140.875</v>
      </c>
      <c r="L64" s="65">
        <f t="shared" si="14"/>
        <v>0</v>
      </c>
      <c r="M64" s="65">
        <f t="shared" si="14"/>
        <v>0</v>
      </c>
      <c r="N64" s="65">
        <f t="shared" si="14"/>
        <v>0</v>
      </c>
      <c r="O64" s="65">
        <f t="shared" si="14"/>
        <v>2140.875</v>
      </c>
      <c r="P64" s="65">
        <f t="shared" si="14"/>
        <v>2140.875</v>
      </c>
      <c r="Q64" s="65">
        <f t="shared" si="14"/>
        <v>2140.875</v>
      </c>
      <c r="R64" s="65">
        <f t="shared" si="14"/>
        <v>0</v>
      </c>
      <c r="S64" s="65">
        <f t="shared" si="14"/>
        <v>2140.875</v>
      </c>
      <c r="T64" s="65">
        <f t="shared" si="14"/>
        <v>2140.875</v>
      </c>
      <c r="U64" s="65">
        <f t="shared" si="14"/>
        <v>0</v>
      </c>
    </row>
  </sheetData>
  <sheetProtection algorithmName="SHA-512" hashValue="PmP/q7wQxdrR4MssPi2eleiF4Tbua4TM7NIt2EXvZXV53u4tLT19/0jpQQ8XHTV/IFjEvjvt2tNEnKxRJdXZcQ==" saltValue="/20rpx+q9Y/HBUVxFVvqOg==" spinCount="100000" sheet="1" objects="1" scenarios="1"/>
  <autoFilter ref="A2:U64" xr:uid="{00000000-0009-0000-0000-00001B000000}"/>
  <mergeCells count="2">
    <mergeCell ref="A7:B7"/>
    <mergeCell ref="A8:B8"/>
  </mergeCells>
  <conditionalFormatting sqref="C15 F15:U15">
    <cfRule type="expression" dxfId="431" priority="55">
      <formula>C15&lt;#REF!</formula>
    </cfRule>
    <cfRule type="expression" dxfId="430" priority="56">
      <formula>C15&gt;#REF!</formula>
    </cfRule>
  </conditionalFormatting>
  <conditionalFormatting sqref="D15">
    <cfRule type="expression" dxfId="429" priority="57">
      <formula>D15&lt;#REF!</formula>
    </cfRule>
    <cfRule type="expression" dxfId="428" priority="58">
      <formula>D15&gt;#REF!</formula>
    </cfRule>
  </conditionalFormatting>
  <conditionalFormatting sqref="E15">
    <cfRule type="expression" dxfId="427" priority="59" stopIfTrue="1">
      <formula>E15&lt;#REF!</formula>
    </cfRule>
    <cfRule type="expression" dxfId="426" priority="60" stopIfTrue="1">
      <formula>E15&gt;#REF!</formula>
    </cfRule>
  </conditionalFormatting>
  <conditionalFormatting sqref="C22:U22">
    <cfRule type="expression" dxfId="425" priority="49">
      <formula>C22&lt;#REF!</formula>
    </cfRule>
    <cfRule type="expression" dxfId="424" priority="50">
      <formula>C22&gt;#REF!</formula>
    </cfRule>
  </conditionalFormatting>
  <conditionalFormatting sqref="D22">
    <cfRule type="expression" dxfId="423" priority="51">
      <formula>D22&lt;#REF!</formula>
    </cfRule>
    <cfRule type="expression" dxfId="422" priority="52">
      <formula>D22&gt;#REF!</formula>
    </cfRule>
  </conditionalFormatting>
  <conditionalFormatting sqref="E22">
    <cfRule type="expression" dxfId="421" priority="53" stopIfTrue="1">
      <formula>E22&lt;#REF!</formula>
    </cfRule>
    <cfRule type="expression" dxfId="420" priority="54" stopIfTrue="1">
      <formula>E22&gt;#REF!</formula>
    </cfRule>
  </conditionalFormatting>
  <conditionalFormatting sqref="F29:U29">
    <cfRule type="expression" dxfId="419" priority="43">
      <formula>F29&lt;#REF!</formula>
    </cfRule>
    <cfRule type="expression" dxfId="418" priority="44">
      <formula>F29&gt;#REF!</formula>
    </cfRule>
  </conditionalFormatting>
  <conditionalFormatting sqref="D29">
    <cfRule type="expression" dxfId="417" priority="45">
      <formula>D29&lt;#REF!</formula>
    </cfRule>
    <cfRule type="expression" dxfId="416" priority="46">
      <formula>D29&gt;#REF!</formula>
    </cfRule>
  </conditionalFormatting>
  <conditionalFormatting sqref="E29">
    <cfRule type="expression" dxfId="415" priority="47" stopIfTrue="1">
      <formula>E29&lt;#REF!</formula>
    </cfRule>
    <cfRule type="expression" dxfId="414" priority="48" stopIfTrue="1">
      <formula>E29&gt;#REF!</formula>
    </cfRule>
  </conditionalFormatting>
  <conditionalFormatting sqref="F36:U36">
    <cfRule type="expression" dxfId="413" priority="37">
      <formula>F36&lt;#REF!</formula>
    </cfRule>
    <cfRule type="expression" dxfId="412" priority="38">
      <formula>F36&gt;#REF!</formula>
    </cfRule>
  </conditionalFormatting>
  <conditionalFormatting sqref="D36">
    <cfRule type="expression" dxfId="411" priority="39">
      <formula>D36&lt;#REF!</formula>
    </cfRule>
    <cfRule type="expression" dxfId="410" priority="40">
      <formula>D36&gt;#REF!</formula>
    </cfRule>
  </conditionalFormatting>
  <conditionalFormatting sqref="E36">
    <cfRule type="expression" dxfId="409" priority="41" stopIfTrue="1">
      <formula>E36&lt;#REF!</formula>
    </cfRule>
    <cfRule type="expression" dxfId="408" priority="42" stopIfTrue="1">
      <formula>E36&gt;#REF!</formula>
    </cfRule>
  </conditionalFormatting>
  <conditionalFormatting sqref="F43:U43">
    <cfRule type="expression" dxfId="407" priority="31">
      <formula>F43&lt;#REF!</formula>
    </cfRule>
    <cfRule type="expression" dxfId="406" priority="32">
      <formula>F43&gt;#REF!</formula>
    </cfRule>
  </conditionalFormatting>
  <conditionalFormatting sqref="D43">
    <cfRule type="expression" dxfId="405" priority="33">
      <formula>D43&lt;#REF!</formula>
    </cfRule>
    <cfRule type="expression" dxfId="404" priority="34">
      <formula>D43&gt;#REF!</formula>
    </cfRule>
  </conditionalFormatting>
  <conditionalFormatting sqref="E43">
    <cfRule type="expression" dxfId="403" priority="35" stopIfTrue="1">
      <formula>E43&lt;#REF!</formula>
    </cfRule>
    <cfRule type="expression" dxfId="402" priority="36" stopIfTrue="1">
      <formula>E43&gt;#REF!</formula>
    </cfRule>
  </conditionalFormatting>
  <conditionalFormatting sqref="F50:U50">
    <cfRule type="expression" dxfId="401" priority="25">
      <formula>F50&lt;#REF!</formula>
    </cfRule>
    <cfRule type="expression" dxfId="400" priority="26">
      <formula>F50&gt;#REF!</formula>
    </cfRule>
  </conditionalFormatting>
  <conditionalFormatting sqref="D50">
    <cfRule type="expression" dxfId="399" priority="27">
      <formula>D50&lt;#REF!</formula>
    </cfRule>
    <cfRule type="expression" dxfId="398" priority="28">
      <formula>D50&gt;#REF!</formula>
    </cfRule>
  </conditionalFormatting>
  <conditionalFormatting sqref="E50">
    <cfRule type="expression" dxfId="397" priority="29" stopIfTrue="1">
      <formula>E50&lt;#REF!</formula>
    </cfRule>
    <cfRule type="expression" dxfId="396" priority="30" stopIfTrue="1">
      <formula>E50&gt;#REF!</formula>
    </cfRule>
  </conditionalFormatting>
  <conditionalFormatting sqref="F57:U57">
    <cfRule type="expression" dxfId="395" priority="19">
      <formula>F57&lt;#REF!</formula>
    </cfRule>
    <cfRule type="expression" dxfId="394" priority="20">
      <formula>F57&gt;#REF!</formula>
    </cfRule>
  </conditionalFormatting>
  <conditionalFormatting sqref="D57">
    <cfRule type="expression" dxfId="393" priority="21">
      <formula>D57&lt;#REF!</formula>
    </cfRule>
    <cfRule type="expression" dxfId="392" priority="22">
      <formula>D57&gt;#REF!</formula>
    </cfRule>
  </conditionalFormatting>
  <conditionalFormatting sqref="E57">
    <cfRule type="expression" dxfId="391" priority="23" stopIfTrue="1">
      <formula>E57&lt;#REF!</formula>
    </cfRule>
    <cfRule type="expression" dxfId="390" priority="24" stopIfTrue="1">
      <formula>E57&gt;#REF!</formula>
    </cfRule>
  </conditionalFormatting>
  <conditionalFormatting sqref="F64:U64">
    <cfRule type="expression" dxfId="389" priority="13">
      <formula>F64&lt;#REF!</formula>
    </cfRule>
    <cfRule type="expression" dxfId="388" priority="14">
      <formula>F64&gt;#REF!</formula>
    </cfRule>
  </conditionalFormatting>
  <conditionalFormatting sqref="D64">
    <cfRule type="expression" dxfId="387" priority="15">
      <formula>D64&lt;#REF!</formula>
    </cfRule>
    <cfRule type="expression" dxfId="386" priority="16">
      <formula>D64&gt;#REF!</formula>
    </cfRule>
  </conditionalFormatting>
  <conditionalFormatting sqref="E64">
    <cfRule type="expression" dxfId="385" priority="17" stopIfTrue="1">
      <formula>E64&lt;#REF!</formula>
    </cfRule>
    <cfRule type="expression" dxfId="384" priority="18" stopIfTrue="1">
      <formula>E64&gt;#REF!</formula>
    </cfRule>
  </conditionalFormatting>
  <conditionalFormatting sqref="C29:U29">
    <cfRule type="expression" dxfId="383" priority="11">
      <formula>C29&lt;#REF!</formula>
    </cfRule>
    <cfRule type="expression" dxfId="382" priority="12">
      <formula>C29&gt;#REF!</formula>
    </cfRule>
  </conditionalFormatting>
  <conditionalFormatting sqref="C36:U36">
    <cfRule type="expression" dxfId="381" priority="9">
      <formula>C36&lt;#REF!</formula>
    </cfRule>
    <cfRule type="expression" dxfId="380" priority="10">
      <formula>C36&gt;#REF!</formula>
    </cfRule>
  </conditionalFormatting>
  <conditionalFormatting sqref="C43:U43">
    <cfRule type="expression" dxfId="379" priority="7">
      <formula>C43&lt;#REF!</formula>
    </cfRule>
    <cfRule type="expression" dxfId="378" priority="8">
      <formula>C43&gt;#REF!</formula>
    </cfRule>
  </conditionalFormatting>
  <conditionalFormatting sqref="C50:U50">
    <cfRule type="expression" dxfId="377" priority="5">
      <formula>C50&lt;#REF!</formula>
    </cfRule>
    <cfRule type="expression" dxfId="376" priority="6">
      <formula>C50&gt;#REF!</formula>
    </cfRule>
  </conditionalFormatting>
  <conditionalFormatting sqref="C57:U57">
    <cfRule type="expression" dxfId="375" priority="3">
      <formula>C57&lt;#REF!</formula>
    </cfRule>
    <cfRule type="expression" dxfId="374" priority="4">
      <formula>C57&gt;#REF!</formula>
    </cfRule>
  </conditionalFormatting>
  <conditionalFormatting sqref="C64:U64">
    <cfRule type="expression" dxfId="373" priority="1">
      <formula>C64&lt;#REF!</formula>
    </cfRule>
    <cfRule type="expression" dxfId="372" priority="2">
      <formula>C64&gt;#REF!</formula>
    </cfRule>
  </conditionalFormatting>
  <pageMargins left="0.7" right="0.7" top="0.75" bottom="0.75" header="0.3" footer="0.3"/>
  <pageSetup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8"/>
  <dimension ref="A1:X64"/>
  <sheetViews>
    <sheetView workbookViewId="0">
      <selection activeCell="X19" sqref="X19"/>
    </sheetView>
  </sheetViews>
  <sheetFormatPr defaultColWidth="8.81640625" defaultRowHeight="14.5" x14ac:dyDescent="0.35"/>
  <cols>
    <col min="1" max="1" width="16.453125" customWidth="1"/>
    <col min="2" max="2" width="6" customWidth="1"/>
    <col min="3" max="3" width="21.54296875" bestFit="1" customWidth="1"/>
    <col min="4" max="4" width="24.81640625" customWidth="1"/>
    <col min="5" max="5" width="22.54296875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0" width="18.54296875" customWidth="1"/>
    <col min="11" max="11" width="18.81640625" customWidth="1"/>
    <col min="12" max="12" width="17.1796875" bestFit="1" customWidth="1"/>
    <col min="13" max="13" width="19.453125" customWidth="1"/>
    <col min="14" max="14" width="18.81640625" customWidth="1"/>
    <col min="15" max="15" width="20.1796875" customWidth="1"/>
    <col min="16" max="16" width="22.81640625" customWidth="1"/>
    <col min="17" max="17" width="17.1796875" bestFit="1" customWidth="1"/>
    <col min="18" max="18" width="18.81640625" customWidth="1"/>
    <col min="19" max="19" width="21.81640625" customWidth="1"/>
    <col min="20" max="20" width="17.1796875" bestFit="1" customWidth="1"/>
    <col min="21" max="21" width="25" customWidth="1"/>
    <col min="22" max="23" width="17.1796875" bestFit="1" customWidth="1"/>
    <col min="24" max="24" width="18" customWidth="1"/>
  </cols>
  <sheetData>
    <row r="1" spans="1:24" ht="24" thickBot="1" x14ac:dyDescent="0.4">
      <c r="A1" s="186"/>
    </row>
    <row r="2" spans="1:24" x14ac:dyDescent="0.35">
      <c r="E2" s="130" t="s">
        <v>503</v>
      </c>
      <c r="F2" s="131"/>
      <c r="G2" s="131" t="s">
        <v>104</v>
      </c>
      <c r="H2" s="131"/>
      <c r="I2" s="132"/>
    </row>
    <row r="3" spans="1:24" x14ac:dyDescent="0.35">
      <c r="E3" s="133"/>
      <c r="F3" s="134" t="s">
        <v>504</v>
      </c>
      <c r="G3" s="135"/>
      <c r="H3" s="134"/>
      <c r="I3" s="136"/>
    </row>
    <row r="4" spans="1:24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24" ht="30.65" customHeight="1" x14ac:dyDescent="0.35">
      <c r="A5" s="141" t="s">
        <v>505</v>
      </c>
      <c r="B5" t="s">
        <v>506</v>
      </c>
    </row>
    <row r="6" spans="1:24" ht="28.4" customHeight="1" x14ac:dyDescent="0.35">
      <c r="A6" s="142" t="s">
        <v>200</v>
      </c>
      <c r="B6" s="169"/>
      <c r="C6" s="142" t="s">
        <v>507</v>
      </c>
      <c r="D6" s="142" t="s">
        <v>508</v>
      </c>
      <c r="E6" s="142" t="s">
        <v>509</v>
      </c>
      <c r="F6" s="142" t="s">
        <v>510</v>
      </c>
      <c r="G6" s="143" t="s">
        <v>511</v>
      </c>
      <c r="H6" s="143" t="s">
        <v>512</v>
      </c>
      <c r="I6" s="143" t="s">
        <v>513</v>
      </c>
      <c r="J6" s="142" t="s">
        <v>514</v>
      </c>
      <c r="K6" s="142" t="s">
        <v>515</v>
      </c>
      <c r="L6" s="142" t="s">
        <v>516</v>
      </c>
      <c r="M6" s="142" t="s">
        <v>517</v>
      </c>
      <c r="N6" s="142" t="s">
        <v>518</v>
      </c>
      <c r="O6" s="142" t="s">
        <v>519</v>
      </c>
      <c r="P6" s="142" t="s">
        <v>520</v>
      </c>
      <c r="Q6" s="144" t="s">
        <v>521</v>
      </c>
      <c r="R6" s="144" t="s">
        <v>522</v>
      </c>
      <c r="S6" s="142" t="s">
        <v>523</v>
      </c>
      <c r="T6" s="142" t="s">
        <v>524</v>
      </c>
      <c r="U6" s="142" t="s">
        <v>525</v>
      </c>
      <c r="V6" s="142" t="s">
        <v>526</v>
      </c>
      <c r="W6" s="142" t="s">
        <v>527</v>
      </c>
      <c r="X6" s="142" t="s">
        <v>528</v>
      </c>
    </row>
    <row r="7" spans="1:24" x14ac:dyDescent="0.35">
      <c r="A7" s="252" t="s">
        <v>137</v>
      </c>
      <c r="B7" s="252"/>
      <c r="C7" s="145" t="s">
        <v>286</v>
      </c>
      <c r="D7" s="145" t="s">
        <v>529</v>
      </c>
      <c r="E7" s="145" t="s">
        <v>141</v>
      </c>
      <c r="F7" s="145" t="s">
        <v>287</v>
      </c>
      <c r="G7" s="145" t="s">
        <v>215</v>
      </c>
      <c r="H7" s="145" t="s">
        <v>142</v>
      </c>
      <c r="I7" s="145" t="s">
        <v>143</v>
      </c>
      <c r="J7" s="145" t="s">
        <v>320</v>
      </c>
      <c r="K7" s="145" t="s">
        <v>288</v>
      </c>
      <c r="L7" s="145" t="s">
        <v>144</v>
      </c>
      <c r="M7" s="145" t="s">
        <v>145</v>
      </c>
      <c r="N7" s="145" t="s">
        <v>146</v>
      </c>
      <c r="O7" s="145" t="s">
        <v>530</v>
      </c>
      <c r="P7" s="145" t="s">
        <v>147</v>
      </c>
      <c r="Q7" s="145" t="s">
        <v>148</v>
      </c>
      <c r="R7" s="145" t="s">
        <v>149</v>
      </c>
      <c r="S7" s="145" t="s">
        <v>150</v>
      </c>
      <c r="T7" s="145" t="s">
        <v>151</v>
      </c>
      <c r="U7" s="145" t="s">
        <v>153</v>
      </c>
      <c r="V7" s="145" t="s">
        <v>154</v>
      </c>
      <c r="W7" s="145" t="s">
        <v>155</v>
      </c>
      <c r="X7" s="145" t="s">
        <v>289</v>
      </c>
    </row>
    <row r="8" spans="1:24" x14ac:dyDescent="0.35">
      <c r="A8" s="253" t="s">
        <v>158</v>
      </c>
      <c r="B8" s="253"/>
      <c r="C8" s="147">
        <v>1</v>
      </c>
      <c r="D8" s="148">
        <v>1</v>
      </c>
      <c r="E8" s="147">
        <v>2</v>
      </c>
      <c r="F8" s="147">
        <v>1</v>
      </c>
      <c r="G8" s="147">
        <v>2</v>
      </c>
      <c r="H8" s="147">
        <v>1</v>
      </c>
      <c r="I8" s="147">
        <v>1</v>
      </c>
      <c r="J8" s="147">
        <v>1</v>
      </c>
      <c r="K8" s="147">
        <v>1</v>
      </c>
      <c r="L8" s="147">
        <v>1</v>
      </c>
      <c r="M8" s="147">
        <v>2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1</v>
      </c>
      <c r="U8" s="147">
        <v>1</v>
      </c>
      <c r="V8" s="147">
        <v>1</v>
      </c>
      <c r="W8" s="147">
        <v>4</v>
      </c>
      <c r="X8" s="147">
        <v>1</v>
      </c>
    </row>
    <row r="9" spans="1:24" x14ac:dyDescent="0.35">
      <c r="A9" s="150" t="s">
        <v>159</v>
      </c>
      <c r="B9" s="151"/>
      <c r="C9" s="152"/>
      <c r="D9" s="173" t="s">
        <v>225</v>
      </c>
      <c r="E9" s="152"/>
      <c r="F9" s="173" t="s">
        <v>225</v>
      </c>
      <c r="G9" s="152"/>
      <c r="H9" s="152"/>
      <c r="I9" s="152"/>
      <c r="J9" s="173" t="s">
        <v>225</v>
      </c>
      <c r="K9" s="154"/>
      <c r="L9" s="173" t="s">
        <v>225</v>
      </c>
      <c r="M9" s="173" t="s">
        <v>225</v>
      </c>
      <c r="N9" s="173" t="s">
        <v>225</v>
      </c>
      <c r="O9" s="173" t="s">
        <v>225</v>
      </c>
      <c r="P9" s="173" t="s">
        <v>225</v>
      </c>
      <c r="Q9" s="152"/>
      <c r="R9" s="154"/>
      <c r="S9" s="173" t="s">
        <v>225</v>
      </c>
      <c r="T9" s="173" t="s">
        <v>225</v>
      </c>
      <c r="U9" s="152"/>
      <c r="V9" s="152"/>
      <c r="W9" s="152"/>
      <c r="X9" s="173" t="s">
        <v>225</v>
      </c>
    </row>
    <row r="10" spans="1:24" x14ac:dyDescent="0.35">
      <c r="A10" s="155" t="s">
        <v>161</v>
      </c>
      <c r="B10" s="156" t="s">
        <v>162</v>
      </c>
      <c r="C10" s="157"/>
      <c r="D10" s="172">
        <v>0</v>
      </c>
      <c r="E10" s="157"/>
      <c r="F10" s="172">
        <v>0</v>
      </c>
      <c r="G10" s="157"/>
      <c r="H10" s="157"/>
      <c r="I10" s="157"/>
      <c r="J10" s="172">
        <v>0</v>
      </c>
      <c r="K10" s="157"/>
      <c r="L10" s="172">
        <v>0</v>
      </c>
      <c r="M10" s="172">
        <v>0</v>
      </c>
      <c r="N10" s="172">
        <v>0</v>
      </c>
      <c r="O10" s="172">
        <v>0</v>
      </c>
      <c r="P10" s="172">
        <v>0</v>
      </c>
      <c r="Q10" s="157"/>
      <c r="R10" s="157"/>
      <c r="S10" s="172">
        <v>0</v>
      </c>
      <c r="T10" s="172">
        <v>0</v>
      </c>
      <c r="U10" s="157"/>
      <c r="V10" s="157"/>
      <c r="W10" s="157"/>
      <c r="X10" s="172">
        <v>0</v>
      </c>
    </row>
    <row r="11" spans="1:24" x14ac:dyDescent="0.35">
      <c r="A11" s="155" t="s">
        <v>161</v>
      </c>
      <c r="B11" s="156" t="s">
        <v>163</v>
      </c>
      <c r="C11" s="157">
        <v>11273</v>
      </c>
      <c r="D11" s="172">
        <v>8750</v>
      </c>
      <c r="E11" s="157"/>
      <c r="F11" s="172">
        <v>8750</v>
      </c>
      <c r="G11" s="157"/>
      <c r="H11" s="157"/>
      <c r="I11" s="157"/>
      <c r="J11" s="172">
        <v>8750</v>
      </c>
      <c r="K11" s="157"/>
      <c r="L11" s="172">
        <v>8750</v>
      </c>
      <c r="M11" s="172">
        <v>8750</v>
      </c>
      <c r="N11" s="172">
        <v>8750</v>
      </c>
      <c r="O11" s="172">
        <v>8750</v>
      </c>
      <c r="P11" s="172">
        <v>8750</v>
      </c>
      <c r="Q11" s="157"/>
      <c r="R11" s="157"/>
      <c r="S11" s="172">
        <v>3772</v>
      </c>
      <c r="T11" s="172">
        <v>3772</v>
      </c>
      <c r="U11" s="157"/>
      <c r="V11" s="157">
        <v>11273</v>
      </c>
      <c r="W11" s="157"/>
      <c r="X11" s="172">
        <v>3772</v>
      </c>
    </row>
    <row r="12" spans="1:24" x14ac:dyDescent="0.35">
      <c r="A12" s="155" t="s">
        <v>164</v>
      </c>
      <c r="B12" s="156"/>
      <c r="C12" s="157" t="s">
        <v>531</v>
      </c>
      <c r="D12" s="178">
        <v>43631</v>
      </c>
      <c r="E12" s="157"/>
      <c r="F12" s="178">
        <v>43631</v>
      </c>
      <c r="G12" s="157"/>
      <c r="H12" s="157"/>
      <c r="I12" s="157"/>
      <c r="J12" s="178">
        <v>43631</v>
      </c>
      <c r="K12" s="157"/>
      <c r="L12" s="178">
        <v>43631</v>
      </c>
      <c r="M12" s="178">
        <v>43631</v>
      </c>
      <c r="N12" s="178">
        <v>43631</v>
      </c>
      <c r="O12" s="178">
        <v>43631</v>
      </c>
      <c r="P12" s="178">
        <v>43631</v>
      </c>
      <c r="Q12" s="157"/>
      <c r="R12" s="157"/>
      <c r="S12" s="178">
        <v>43231</v>
      </c>
      <c r="T12" s="178">
        <v>43231</v>
      </c>
      <c r="U12" s="157"/>
      <c r="V12" s="157" t="s">
        <v>531</v>
      </c>
      <c r="W12" s="157"/>
      <c r="X12" s="178">
        <v>43231</v>
      </c>
    </row>
    <row r="13" spans="1:24" ht="29" x14ac:dyDescent="0.35">
      <c r="A13" s="160" t="s">
        <v>165</v>
      </c>
      <c r="B13" s="161"/>
      <c r="C13" s="157" t="s">
        <v>532</v>
      </c>
      <c r="D13" s="162" t="s">
        <v>166</v>
      </c>
      <c r="E13" s="157"/>
      <c r="F13" s="162" t="s">
        <v>166</v>
      </c>
      <c r="G13" s="157"/>
      <c r="H13" s="157"/>
      <c r="I13" s="157"/>
      <c r="J13" s="162" t="s">
        <v>166</v>
      </c>
      <c r="K13" s="157"/>
      <c r="L13" s="162" t="s">
        <v>166</v>
      </c>
      <c r="M13" s="162" t="s">
        <v>166</v>
      </c>
      <c r="N13" s="162" t="s">
        <v>166</v>
      </c>
      <c r="O13" s="162" t="s">
        <v>166</v>
      </c>
      <c r="P13" s="162" t="s">
        <v>166</v>
      </c>
      <c r="Q13" s="157"/>
      <c r="R13" s="157"/>
      <c r="S13" s="162" t="s">
        <v>166</v>
      </c>
      <c r="T13" s="162" t="s">
        <v>166</v>
      </c>
      <c r="U13" s="157"/>
      <c r="V13" s="157" t="s">
        <v>532</v>
      </c>
      <c r="W13" s="157"/>
      <c r="X13" s="162" t="s">
        <v>166</v>
      </c>
    </row>
    <row r="14" spans="1:24" x14ac:dyDescent="0.35">
      <c r="A14" s="225" t="s">
        <v>167</v>
      </c>
      <c r="B14" s="225"/>
      <c r="C14" s="225">
        <f>IFERROR(C11-C10,"")</f>
        <v>11273</v>
      </c>
      <c r="D14" s="225">
        <f t="shared" ref="D14:U14" si="0">IFERROR(D11-D10,"")</f>
        <v>8750</v>
      </c>
      <c r="E14" s="225">
        <f t="shared" si="0"/>
        <v>0</v>
      </c>
      <c r="F14" s="225">
        <f t="shared" si="0"/>
        <v>8750</v>
      </c>
      <c r="G14" s="225">
        <f t="shared" si="0"/>
        <v>0</v>
      </c>
      <c r="H14" s="225">
        <f t="shared" si="0"/>
        <v>0</v>
      </c>
      <c r="I14" s="225">
        <f t="shared" si="0"/>
        <v>0</v>
      </c>
      <c r="J14" s="225">
        <f t="shared" si="0"/>
        <v>8750</v>
      </c>
      <c r="K14" s="225">
        <f t="shared" si="0"/>
        <v>0</v>
      </c>
      <c r="L14" s="225">
        <f t="shared" si="0"/>
        <v>8750</v>
      </c>
      <c r="M14" s="225">
        <f t="shared" si="0"/>
        <v>8750</v>
      </c>
      <c r="N14" s="225">
        <f t="shared" si="0"/>
        <v>8750</v>
      </c>
      <c r="O14" s="225">
        <f t="shared" si="0"/>
        <v>8750</v>
      </c>
      <c r="P14" s="225">
        <f t="shared" si="0"/>
        <v>8750</v>
      </c>
      <c r="Q14" s="225">
        <f t="shared" si="0"/>
        <v>0</v>
      </c>
      <c r="R14" s="225">
        <f t="shared" si="0"/>
        <v>0</v>
      </c>
      <c r="S14" s="225">
        <f t="shared" si="0"/>
        <v>3772</v>
      </c>
      <c r="T14" s="225">
        <f t="shared" si="0"/>
        <v>3772</v>
      </c>
      <c r="U14" s="225">
        <f t="shared" si="0"/>
        <v>0</v>
      </c>
      <c r="V14" s="225">
        <f t="shared" ref="V14:X14" si="1">IFERROR(V11-V10,"")</f>
        <v>11273</v>
      </c>
      <c r="W14" s="225">
        <f t="shared" si="1"/>
        <v>0</v>
      </c>
      <c r="X14" s="225">
        <f t="shared" si="1"/>
        <v>3772</v>
      </c>
    </row>
    <row r="15" spans="1:24" ht="16.399999999999999" customHeight="1" x14ac:dyDescent="0.35">
      <c r="A15" s="65" t="s">
        <v>2</v>
      </c>
      <c r="B15" s="65"/>
      <c r="C15" s="65">
        <v>11273</v>
      </c>
      <c r="D15" s="65">
        <v>8750</v>
      </c>
      <c r="E15" s="65"/>
      <c r="F15" s="65">
        <v>8750</v>
      </c>
      <c r="G15" s="65"/>
      <c r="H15" s="65"/>
      <c r="I15" s="65"/>
      <c r="J15" s="65">
        <v>8750</v>
      </c>
      <c r="K15" s="65"/>
      <c r="L15" s="65">
        <v>8750</v>
      </c>
      <c r="M15" s="65">
        <v>8750</v>
      </c>
      <c r="N15" s="65">
        <v>8750</v>
      </c>
      <c r="O15" s="65">
        <v>8750</v>
      </c>
      <c r="P15" s="65">
        <v>8750</v>
      </c>
      <c r="Q15" s="65"/>
      <c r="R15" s="65"/>
      <c r="S15" s="65"/>
      <c r="T15" s="65"/>
      <c r="U15" s="65"/>
      <c r="V15" s="65">
        <v>11273</v>
      </c>
      <c r="W15" s="65"/>
      <c r="X15" s="65">
        <v>3772</v>
      </c>
    </row>
    <row r="16" spans="1:24" x14ac:dyDescent="0.35">
      <c r="A16" s="150" t="s">
        <v>159</v>
      </c>
      <c r="B16" s="151"/>
      <c r="C16" s="163"/>
      <c r="D16" s="154"/>
      <c r="E16" s="154"/>
      <c r="F16" s="154"/>
      <c r="G16" s="154"/>
      <c r="H16" s="154"/>
      <c r="I16" s="154"/>
      <c r="J16" s="152"/>
      <c r="K16" s="154"/>
      <c r="L16" s="154"/>
      <c r="M16" s="154"/>
      <c r="N16" s="152"/>
      <c r="O16" s="152"/>
      <c r="P16" s="152"/>
      <c r="Q16" s="154"/>
      <c r="R16" s="154"/>
      <c r="S16" s="178">
        <v>43231</v>
      </c>
      <c r="T16" s="178">
        <v>43231</v>
      </c>
      <c r="U16" s="154"/>
      <c r="V16" s="154"/>
      <c r="W16" s="154"/>
      <c r="X16" s="154"/>
    </row>
    <row r="17" spans="1:24" x14ac:dyDescent="0.35">
      <c r="A17" s="155" t="s">
        <v>161</v>
      </c>
      <c r="B17" s="156" t="s">
        <v>162</v>
      </c>
      <c r="C17" s="165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72">
        <v>3772</v>
      </c>
      <c r="T17" s="172">
        <v>3772</v>
      </c>
      <c r="U17" s="157"/>
      <c r="V17" s="157"/>
      <c r="W17" s="157"/>
      <c r="X17" s="157"/>
    </row>
    <row r="18" spans="1:24" x14ac:dyDescent="0.35">
      <c r="A18" s="155" t="s">
        <v>161</v>
      </c>
      <c r="B18" s="156" t="s">
        <v>163</v>
      </c>
      <c r="C18" s="165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72">
        <v>11237</v>
      </c>
      <c r="T18" s="172">
        <v>11237</v>
      </c>
      <c r="U18" s="157"/>
      <c r="V18" s="157"/>
      <c r="W18" s="157"/>
      <c r="X18" s="157"/>
    </row>
    <row r="19" spans="1:24" x14ac:dyDescent="0.35">
      <c r="A19" s="155" t="s">
        <v>164</v>
      </c>
      <c r="B19" s="156"/>
      <c r="C19" s="165"/>
      <c r="D19" s="157"/>
      <c r="E19" s="157"/>
      <c r="F19" s="157"/>
      <c r="G19" s="157"/>
      <c r="H19" s="157"/>
      <c r="I19" s="157"/>
      <c r="J19" s="166"/>
      <c r="K19" s="157"/>
      <c r="L19" s="157"/>
      <c r="M19" s="157"/>
      <c r="N19" s="157"/>
      <c r="O19" s="157"/>
      <c r="P19" s="157"/>
      <c r="Q19" s="157"/>
      <c r="R19" s="157"/>
      <c r="S19" s="178">
        <v>43795</v>
      </c>
      <c r="T19" s="178">
        <v>43795</v>
      </c>
      <c r="U19" s="157"/>
      <c r="V19" s="157"/>
      <c r="W19" s="157"/>
      <c r="X19" s="157"/>
    </row>
    <row r="20" spans="1:24" ht="29" x14ac:dyDescent="0.35">
      <c r="A20" s="160" t="s">
        <v>165</v>
      </c>
      <c r="B20" s="167"/>
      <c r="C20" s="165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62" t="s">
        <v>166</v>
      </c>
      <c r="T20" s="162" t="s">
        <v>166</v>
      </c>
      <c r="U20" s="157"/>
      <c r="V20" s="157"/>
      <c r="W20" s="157"/>
      <c r="X20" s="157"/>
    </row>
    <row r="21" spans="1:24" x14ac:dyDescent="0.35">
      <c r="A21" s="225" t="s">
        <v>167</v>
      </c>
      <c r="B21" s="225"/>
      <c r="C21" s="225">
        <f>IFERROR(C18-C17,"")</f>
        <v>0</v>
      </c>
      <c r="D21" s="225">
        <f t="shared" ref="D21:U21" si="2">IFERROR(D18-D17,"")</f>
        <v>0</v>
      </c>
      <c r="E21" s="225">
        <f t="shared" si="2"/>
        <v>0</v>
      </c>
      <c r="F21" s="225">
        <f t="shared" si="2"/>
        <v>0</v>
      </c>
      <c r="G21" s="225">
        <f t="shared" si="2"/>
        <v>0</v>
      </c>
      <c r="H21" s="225">
        <f t="shared" si="2"/>
        <v>0</v>
      </c>
      <c r="I21" s="225">
        <f t="shared" si="2"/>
        <v>0</v>
      </c>
      <c r="J21" s="225">
        <f t="shared" si="2"/>
        <v>0</v>
      </c>
      <c r="K21" s="225">
        <f t="shared" si="2"/>
        <v>0</v>
      </c>
      <c r="L21" s="225">
        <f t="shared" si="2"/>
        <v>0</v>
      </c>
      <c r="M21" s="225">
        <f t="shared" si="2"/>
        <v>0</v>
      </c>
      <c r="N21" s="225">
        <f t="shared" si="2"/>
        <v>0</v>
      </c>
      <c r="O21" s="225">
        <f t="shared" si="2"/>
        <v>0</v>
      </c>
      <c r="P21" s="225">
        <f t="shared" si="2"/>
        <v>0</v>
      </c>
      <c r="Q21" s="225">
        <f t="shared" si="2"/>
        <v>0</v>
      </c>
      <c r="R21" s="225">
        <f t="shared" si="2"/>
        <v>0</v>
      </c>
      <c r="S21" s="225">
        <f t="shared" si="2"/>
        <v>7465</v>
      </c>
      <c r="T21" s="225">
        <f t="shared" si="2"/>
        <v>7465</v>
      </c>
      <c r="U21" s="225">
        <f t="shared" si="2"/>
        <v>0</v>
      </c>
      <c r="V21" s="225">
        <f t="shared" ref="V21:X21" si="3">IFERROR(V18-V17,"")</f>
        <v>0</v>
      </c>
      <c r="W21" s="225">
        <f t="shared" si="3"/>
        <v>0</v>
      </c>
      <c r="X21" s="225">
        <f t="shared" si="3"/>
        <v>0</v>
      </c>
    </row>
    <row r="22" spans="1:24" ht="16.399999999999999" customHeight="1" x14ac:dyDescent="0.35">
      <c r="A22" s="65" t="s">
        <v>2</v>
      </c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>
        <f>AVERAGE(S21,S14)</f>
        <v>5618.5</v>
      </c>
      <c r="T22" s="65">
        <f>AVERAGE(T21,T14)</f>
        <v>5618.5</v>
      </c>
      <c r="U22" s="65"/>
      <c r="V22" s="65"/>
      <c r="W22" s="65"/>
      <c r="X22" s="65"/>
    </row>
    <row r="23" spans="1:24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2"/>
      <c r="O23" s="152"/>
      <c r="P23" s="152"/>
      <c r="Q23" s="154"/>
      <c r="R23" s="168"/>
      <c r="S23" s="154"/>
      <c r="T23" s="154"/>
      <c r="U23" s="154"/>
      <c r="V23" s="154"/>
      <c r="W23" s="154"/>
      <c r="X23" s="154"/>
    </row>
    <row r="24" spans="1:24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57"/>
      <c r="U24" s="157"/>
      <c r="V24" s="157"/>
      <c r="W24" s="157"/>
      <c r="X24" s="157"/>
    </row>
    <row r="25" spans="1:24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</row>
    <row r="26" spans="1:24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7"/>
      <c r="W26" s="157"/>
      <c r="X26" s="157"/>
    </row>
    <row r="27" spans="1:24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7"/>
      <c r="W27" s="157"/>
      <c r="X27" s="157"/>
    </row>
    <row r="28" spans="1:24" x14ac:dyDescent="0.35">
      <c r="A28" s="225" t="s">
        <v>167</v>
      </c>
      <c r="B28" s="225"/>
      <c r="C28" s="225">
        <f>IFERROR(C25-C24,"")</f>
        <v>0</v>
      </c>
      <c r="D28" s="225">
        <f t="shared" ref="D28:U28" si="4">IFERROR(D25-D24,"")</f>
        <v>0</v>
      </c>
      <c r="E28" s="225">
        <f t="shared" si="4"/>
        <v>0</v>
      </c>
      <c r="F28" s="225">
        <f t="shared" si="4"/>
        <v>0</v>
      </c>
      <c r="G28" s="225">
        <f t="shared" si="4"/>
        <v>0</v>
      </c>
      <c r="H28" s="225">
        <f t="shared" si="4"/>
        <v>0</v>
      </c>
      <c r="I28" s="225">
        <f t="shared" si="4"/>
        <v>0</v>
      </c>
      <c r="J28" s="225">
        <f t="shared" si="4"/>
        <v>0</v>
      </c>
      <c r="K28" s="225">
        <f t="shared" si="4"/>
        <v>0</v>
      </c>
      <c r="L28" s="225">
        <f t="shared" si="4"/>
        <v>0</v>
      </c>
      <c r="M28" s="225">
        <f t="shared" si="4"/>
        <v>0</v>
      </c>
      <c r="N28" s="225">
        <f t="shared" si="4"/>
        <v>0</v>
      </c>
      <c r="O28" s="225">
        <f t="shared" si="4"/>
        <v>0</v>
      </c>
      <c r="P28" s="225">
        <f t="shared" si="4"/>
        <v>0</v>
      </c>
      <c r="Q28" s="225">
        <f t="shared" si="4"/>
        <v>0</v>
      </c>
      <c r="R28" s="225">
        <f t="shared" si="4"/>
        <v>0</v>
      </c>
      <c r="S28" s="225">
        <f t="shared" si="4"/>
        <v>0</v>
      </c>
      <c r="T28" s="225">
        <f t="shared" si="4"/>
        <v>0</v>
      </c>
      <c r="U28" s="225">
        <f t="shared" si="4"/>
        <v>0</v>
      </c>
      <c r="V28" s="225">
        <f t="shared" ref="V28:X28" si="5">IFERROR(V25-V24,"")</f>
        <v>0</v>
      </c>
      <c r="W28" s="225">
        <f t="shared" si="5"/>
        <v>0</v>
      </c>
      <c r="X28" s="225">
        <f t="shared" si="5"/>
        <v>0</v>
      </c>
    </row>
    <row r="29" spans="1:24" ht="16.399999999999999" customHeight="1" x14ac:dyDescent="0.35">
      <c r="A29" s="65" t="s">
        <v>2</v>
      </c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</row>
    <row r="30" spans="1:24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/>
      <c r="O30" s="152"/>
      <c r="P30" s="152"/>
      <c r="Q30" s="154"/>
      <c r="R30" s="154"/>
      <c r="S30" s="154"/>
      <c r="T30" s="154"/>
      <c r="U30" s="154"/>
      <c r="V30" s="154"/>
      <c r="W30" s="154"/>
      <c r="X30" s="154"/>
    </row>
    <row r="31" spans="1:24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  <c r="W31" s="157"/>
      <c r="X31" s="157"/>
    </row>
    <row r="32" spans="1:24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  <c r="X32" s="157"/>
    </row>
    <row r="33" spans="1:24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</row>
    <row r="34" spans="1:24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  <c r="X34" s="157"/>
    </row>
    <row r="35" spans="1:24" x14ac:dyDescent="0.35">
      <c r="A35" s="225" t="s">
        <v>167</v>
      </c>
      <c r="B35" s="225"/>
      <c r="C35" s="225">
        <f>IFERROR(C32-C31,"")</f>
        <v>0</v>
      </c>
      <c r="D35" s="225">
        <f t="shared" ref="D35:U35" si="6">IFERROR(D32-D31,"")</f>
        <v>0</v>
      </c>
      <c r="E35" s="225">
        <f t="shared" si="6"/>
        <v>0</v>
      </c>
      <c r="F35" s="225">
        <f t="shared" si="6"/>
        <v>0</v>
      </c>
      <c r="G35" s="225">
        <f t="shared" si="6"/>
        <v>0</v>
      </c>
      <c r="H35" s="225">
        <f t="shared" si="6"/>
        <v>0</v>
      </c>
      <c r="I35" s="225">
        <f t="shared" si="6"/>
        <v>0</v>
      </c>
      <c r="J35" s="225">
        <f t="shared" si="6"/>
        <v>0</v>
      </c>
      <c r="K35" s="225">
        <f t="shared" si="6"/>
        <v>0</v>
      </c>
      <c r="L35" s="225">
        <f t="shared" si="6"/>
        <v>0</v>
      </c>
      <c r="M35" s="225">
        <f t="shared" si="6"/>
        <v>0</v>
      </c>
      <c r="N35" s="225">
        <f t="shared" si="6"/>
        <v>0</v>
      </c>
      <c r="O35" s="225">
        <f t="shared" si="6"/>
        <v>0</v>
      </c>
      <c r="P35" s="225">
        <f t="shared" si="6"/>
        <v>0</v>
      </c>
      <c r="Q35" s="225">
        <f t="shared" si="6"/>
        <v>0</v>
      </c>
      <c r="R35" s="225">
        <f t="shared" si="6"/>
        <v>0</v>
      </c>
      <c r="S35" s="225">
        <f t="shared" si="6"/>
        <v>0</v>
      </c>
      <c r="T35" s="225">
        <f t="shared" si="6"/>
        <v>0</v>
      </c>
      <c r="U35" s="225">
        <f t="shared" si="6"/>
        <v>0</v>
      </c>
      <c r="V35" s="225">
        <f t="shared" ref="V35:X35" si="7">IFERROR(V32-V31,"")</f>
        <v>0</v>
      </c>
      <c r="W35" s="225">
        <f t="shared" si="7"/>
        <v>0</v>
      </c>
      <c r="X35" s="225">
        <f t="shared" si="7"/>
        <v>0</v>
      </c>
    </row>
    <row r="36" spans="1:24" ht="16.399999999999999" customHeight="1" x14ac:dyDescent="0.35">
      <c r="A36" s="65" t="s">
        <v>2</v>
      </c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</row>
    <row r="37" spans="1:24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52"/>
      <c r="P37" s="152"/>
      <c r="Q37" s="154"/>
      <c r="R37" s="154"/>
      <c r="S37" s="154"/>
      <c r="T37" s="154"/>
      <c r="U37" s="154"/>
      <c r="V37" s="154"/>
      <c r="W37" s="154"/>
      <c r="X37" s="154"/>
    </row>
    <row r="38" spans="1:24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  <c r="W38" s="157"/>
      <c r="X38" s="157"/>
    </row>
    <row r="39" spans="1:24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157"/>
    </row>
    <row r="40" spans="1:24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</row>
    <row r="41" spans="1:24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</row>
    <row r="42" spans="1:24" x14ac:dyDescent="0.35">
      <c r="A42" s="225" t="s">
        <v>167</v>
      </c>
      <c r="B42" s="225"/>
      <c r="C42" s="225">
        <f>IFERROR(C39-C38,"")</f>
        <v>0</v>
      </c>
      <c r="D42" s="225">
        <f t="shared" ref="D42:U42" si="8">IFERROR(D39-D38,"")</f>
        <v>0</v>
      </c>
      <c r="E42" s="225">
        <f t="shared" si="8"/>
        <v>0</v>
      </c>
      <c r="F42" s="225">
        <f t="shared" si="8"/>
        <v>0</v>
      </c>
      <c r="G42" s="225">
        <f t="shared" si="8"/>
        <v>0</v>
      </c>
      <c r="H42" s="225">
        <f t="shared" si="8"/>
        <v>0</v>
      </c>
      <c r="I42" s="225">
        <f t="shared" si="8"/>
        <v>0</v>
      </c>
      <c r="J42" s="225">
        <f t="shared" si="8"/>
        <v>0</v>
      </c>
      <c r="K42" s="225">
        <f t="shared" si="8"/>
        <v>0</v>
      </c>
      <c r="L42" s="225">
        <f t="shared" si="8"/>
        <v>0</v>
      </c>
      <c r="M42" s="225">
        <f t="shared" si="8"/>
        <v>0</v>
      </c>
      <c r="N42" s="225">
        <f t="shared" si="8"/>
        <v>0</v>
      </c>
      <c r="O42" s="225">
        <f t="shared" si="8"/>
        <v>0</v>
      </c>
      <c r="P42" s="225">
        <f t="shared" si="8"/>
        <v>0</v>
      </c>
      <c r="Q42" s="225">
        <f t="shared" si="8"/>
        <v>0</v>
      </c>
      <c r="R42" s="225">
        <f t="shared" si="8"/>
        <v>0</v>
      </c>
      <c r="S42" s="225">
        <f t="shared" si="8"/>
        <v>0</v>
      </c>
      <c r="T42" s="225">
        <f t="shared" si="8"/>
        <v>0</v>
      </c>
      <c r="U42" s="225">
        <f t="shared" si="8"/>
        <v>0</v>
      </c>
      <c r="V42" s="225">
        <f t="shared" ref="V42:X42" si="9">IFERROR(V39-V38,"")</f>
        <v>0</v>
      </c>
      <c r="W42" s="225">
        <f t="shared" si="9"/>
        <v>0</v>
      </c>
      <c r="X42" s="225">
        <f t="shared" si="9"/>
        <v>0</v>
      </c>
    </row>
    <row r="43" spans="1:24" ht="16.399999999999999" customHeight="1" x14ac:dyDescent="0.35">
      <c r="A43" s="65" t="s">
        <v>2</v>
      </c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</row>
    <row r="44" spans="1:24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/>
      <c r="P44" s="152"/>
      <c r="Q44" s="154"/>
      <c r="R44" s="154"/>
      <c r="S44" s="154"/>
      <c r="T44" s="154"/>
      <c r="U44" s="154"/>
      <c r="V44" s="154"/>
      <c r="W44" s="154"/>
      <c r="X44" s="154"/>
    </row>
    <row r="45" spans="1:24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  <c r="X45" s="157"/>
    </row>
    <row r="46" spans="1:24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</row>
    <row r="47" spans="1:24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</row>
    <row r="48" spans="1:24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</row>
    <row r="49" spans="1:24" x14ac:dyDescent="0.35">
      <c r="A49" s="225" t="s">
        <v>167</v>
      </c>
      <c r="B49" s="225"/>
      <c r="C49" s="225">
        <f>IFERROR(C46-C45,"")</f>
        <v>0</v>
      </c>
      <c r="D49" s="225">
        <f t="shared" ref="D49:U49" si="10">IFERROR(D46-D45,"")</f>
        <v>0</v>
      </c>
      <c r="E49" s="225">
        <f t="shared" si="10"/>
        <v>0</v>
      </c>
      <c r="F49" s="225">
        <f t="shared" si="10"/>
        <v>0</v>
      </c>
      <c r="G49" s="225">
        <f t="shared" si="10"/>
        <v>0</v>
      </c>
      <c r="H49" s="225">
        <f t="shared" si="10"/>
        <v>0</v>
      </c>
      <c r="I49" s="225">
        <f t="shared" si="10"/>
        <v>0</v>
      </c>
      <c r="J49" s="225">
        <f t="shared" si="10"/>
        <v>0</v>
      </c>
      <c r="K49" s="225">
        <f t="shared" si="10"/>
        <v>0</v>
      </c>
      <c r="L49" s="225">
        <f t="shared" si="10"/>
        <v>0</v>
      </c>
      <c r="M49" s="225">
        <f t="shared" si="10"/>
        <v>0</v>
      </c>
      <c r="N49" s="225">
        <f t="shared" si="10"/>
        <v>0</v>
      </c>
      <c r="O49" s="225">
        <f t="shared" si="10"/>
        <v>0</v>
      </c>
      <c r="P49" s="225">
        <f t="shared" si="10"/>
        <v>0</v>
      </c>
      <c r="Q49" s="225">
        <f t="shared" si="10"/>
        <v>0</v>
      </c>
      <c r="R49" s="225">
        <f t="shared" si="10"/>
        <v>0</v>
      </c>
      <c r="S49" s="225">
        <f t="shared" si="10"/>
        <v>0</v>
      </c>
      <c r="T49" s="225">
        <f t="shared" si="10"/>
        <v>0</v>
      </c>
      <c r="U49" s="225">
        <f t="shared" si="10"/>
        <v>0</v>
      </c>
      <c r="V49" s="225">
        <f t="shared" ref="V49:X49" si="11">IFERROR(V46-V45,"")</f>
        <v>0</v>
      </c>
      <c r="W49" s="225">
        <f t="shared" si="11"/>
        <v>0</v>
      </c>
      <c r="X49" s="225">
        <f t="shared" si="11"/>
        <v>0</v>
      </c>
    </row>
    <row r="50" spans="1:24" ht="16.399999999999999" customHeight="1" x14ac:dyDescent="0.35">
      <c r="A50" s="65" t="s">
        <v>2</v>
      </c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</row>
    <row r="51" spans="1:24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/>
      <c r="P51" s="152"/>
      <c r="Q51" s="154"/>
      <c r="R51" s="154"/>
      <c r="S51" s="154"/>
      <c r="T51" s="154"/>
      <c r="U51" s="154"/>
      <c r="V51" s="154"/>
      <c r="W51" s="154"/>
      <c r="X51" s="154"/>
    </row>
    <row r="52" spans="1:24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</row>
    <row r="53" spans="1:24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</row>
    <row r="54" spans="1:24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</row>
    <row r="55" spans="1:24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</row>
    <row r="56" spans="1:24" x14ac:dyDescent="0.35">
      <c r="A56" s="225" t="s">
        <v>167</v>
      </c>
      <c r="B56" s="225"/>
      <c r="C56" s="225">
        <f>IFERROR(C53-C52,"")</f>
        <v>0</v>
      </c>
      <c r="D56" s="225">
        <f t="shared" ref="D56:U56" si="12">IFERROR(D53-D52,"")</f>
        <v>0</v>
      </c>
      <c r="E56" s="225">
        <f t="shared" si="12"/>
        <v>0</v>
      </c>
      <c r="F56" s="225">
        <f t="shared" si="12"/>
        <v>0</v>
      </c>
      <c r="G56" s="225">
        <f t="shared" si="12"/>
        <v>0</v>
      </c>
      <c r="H56" s="225">
        <f t="shared" si="12"/>
        <v>0</v>
      </c>
      <c r="I56" s="225">
        <f t="shared" si="12"/>
        <v>0</v>
      </c>
      <c r="J56" s="225">
        <f t="shared" si="12"/>
        <v>0</v>
      </c>
      <c r="K56" s="225">
        <f t="shared" si="12"/>
        <v>0</v>
      </c>
      <c r="L56" s="225">
        <f t="shared" si="12"/>
        <v>0</v>
      </c>
      <c r="M56" s="225">
        <f t="shared" si="12"/>
        <v>0</v>
      </c>
      <c r="N56" s="225">
        <f t="shared" si="12"/>
        <v>0</v>
      </c>
      <c r="O56" s="225">
        <f t="shared" si="12"/>
        <v>0</v>
      </c>
      <c r="P56" s="225">
        <f t="shared" si="12"/>
        <v>0</v>
      </c>
      <c r="Q56" s="225">
        <f t="shared" si="12"/>
        <v>0</v>
      </c>
      <c r="R56" s="225">
        <f t="shared" si="12"/>
        <v>0</v>
      </c>
      <c r="S56" s="225">
        <f t="shared" si="12"/>
        <v>0</v>
      </c>
      <c r="T56" s="225">
        <f t="shared" si="12"/>
        <v>0</v>
      </c>
      <c r="U56" s="225">
        <f t="shared" si="12"/>
        <v>0</v>
      </c>
      <c r="V56" s="225">
        <f t="shared" ref="V56:X56" si="13">IFERROR(V53-V52,"")</f>
        <v>0</v>
      </c>
      <c r="W56" s="225">
        <f t="shared" si="13"/>
        <v>0</v>
      </c>
      <c r="X56" s="225">
        <f t="shared" si="13"/>
        <v>0</v>
      </c>
    </row>
    <row r="57" spans="1:24" ht="16.399999999999999" customHeight="1" x14ac:dyDescent="0.35">
      <c r="A57" s="65" t="s">
        <v>2</v>
      </c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</row>
    <row r="58" spans="1:24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/>
      <c r="P58" s="152"/>
      <c r="Q58" s="154"/>
      <c r="R58" s="154"/>
      <c r="S58" s="154"/>
      <c r="T58" s="154"/>
      <c r="U58" s="154"/>
      <c r="V58" s="154"/>
      <c r="W58" s="154"/>
      <c r="X58" s="154"/>
    </row>
    <row r="59" spans="1:24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</row>
    <row r="60" spans="1:24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</row>
    <row r="61" spans="1:24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157"/>
    </row>
    <row r="62" spans="1:24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157"/>
    </row>
    <row r="63" spans="1:24" x14ac:dyDescent="0.35">
      <c r="A63" s="225" t="s">
        <v>167</v>
      </c>
      <c r="B63" s="225"/>
      <c r="C63" s="225">
        <f>IFERROR(C60-C59,"")</f>
        <v>0</v>
      </c>
      <c r="D63" s="225">
        <f t="shared" ref="D63:U63" si="14">IFERROR(D60-D59,"")</f>
        <v>0</v>
      </c>
      <c r="E63" s="225">
        <f t="shared" si="14"/>
        <v>0</v>
      </c>
      <c r="F63" s="225">
        <f t="shared" si="14"/>
        <v>0</v>
      </c>
      <c r="G63" s="225">
        <f t="shared" si="14"/>
        <v>0</v>
      </c>
      <c r="H63" s="225">
        <f t="shared" si="14"/>
        <v>0</v>
      </c>
      <c r="I63" s="225">
        <f t="shared" si="14"/>
        <v>0</v>
      </c>
      <c r="J63" s="225">
        <f t="shared" si="14"/>
        <v>0</v>
      </c>
      <c r="K63" s="225">
        <f t="shared" si="14"/>
        <v>0</v>
      </c>
      <c r="L63" s="225">
        <f t="shared" si="14"/>
        <v>0</v>
      </c>
      <c r="M63" s="225">
        <f t="shared" si="14"/>
        <v>0</v>
      </c>
      <c r="N63" s="225">
        <f t="shared" si="14"/>
        <v>0</v>
      </c>
      <c r="O63" s="225">
        <f t="shared" si="14"/>
        <v>0</v>
      </c>
      <c r="P63" s="225">
        <f t="shared" si="14"/>
        <v>0</v>
      </c>
      <c r="Q63" s="225">
        <f t="shared" si="14"/>
        <v>0</v>
      </c>
      <c r="R63" s="225">
        <f t="shared" si="14"/>
        <v>0</v>
      </c>
      <c r="S63" s="225">
        <f t="shared" si="14"/>
        <v>0</v>
      </c>
      <c r="T63" s="225">
        <f t="shared" si="14"/>
        <v>0</v>
      </c>
      <c r="U63" s="225">
        <f t="shared" si="14"/>
        <v>0</v>
      </c>
      <c r="V63" s="225">
        <f t="shared" ref="V63:X63" si="15">IFERROR(V60-V59,"")</f>
        <v>0</v>
      </c>
      <c r="W63" s="225">
        <f t="shared" si="15"/>
        <v>0</v>
      </c>
      <c r="X63" s="225">
        <f t="shared" si="15"/>
        <v>0</v>
      </c>
    </row>
    <row r="64" spans="1:24" ht="16.399999999999999" customHeight="1" x14ac:dyDescent="0.35">
      <c r="A64" s="65" t="s">
        <v>2</v>
      </c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</row>
  </sheetData>
  <sheetProtection algorithmName="SHA-512" hashValue="Z4ZYcM9fUzBItlHzgO2FtKb3iWl7n+whXU1XGVa/84C54L1Cc1+3/h7pb7z883D1Uh1JWplq84RIZHYR0WVHEQ==" saltValue="ta0tEDriD0r8NG2pu6muqQ==" spinCount="100000" sheet="1" objects="1" scenarios="1"/>
  <mergeCells count="2">
    <mergeCell ref="A7:B7"/>
    <mergeCell ref="A8:B8"/>
  </mergeCells>
  <conditionalFormatting sqref="C15 F15:X15">
    <cfRule type="expression" dxfId="371" priority="43">
      <formula>C15&lt;#REF!</formula>
    </cfRule>
    <cfRule type="expression" dxfId="370" priority="44">
      <formula>C15&gt;#REF!</formula>
    </cfRule>
  </conditionalFormatting>
  <conditionalFormatting sqref="D15">
    <cfRule type="expression" dxfId="369" priority="45">
      <formula>D15&lt;#REF!</formula>
    </cfRule>
    <cfRule type="expression" dxfId="368" priority="46">
      <formula>D15&gt;#REF!</formula>
    </cfRule>
  </conditionalFormatting>
  <conditionalFormatting sqref="E15">
    <cfRule type="expression" dxfId="367" priority="47" stopIfTrue="1">
      <formula>E15&lt;#REF!</formula>
    </cfRule>
    <cfRule type="expression" dxfId="366" priority="48" stopIfTrue="1">
      <formula>E15&gt;#REF!</formula>
    </cfRule>
  </conditionalFormatting>
  <conditionalFormatting sqref="C22 F22:X22">
    <cfRule type="expression" dxfId="365" priority="37">
      <formula>C22&lt;#REF!</formula>
    </cfRule>
    <cfRule type="expression" dxfId="364" priority="38">
      <formula>C22&gt;#REF!</formula>
    </cfRule>
  </conditionalFormatting>
  <conditionalFormatting sqref="D22">
    <cfRule type="expression" dxfId="363" priority="39">
      <formula>D22&lt;#REF!</formula>
    </cfRule>
    <cfRule type="expression" dxfId="362" priority="40">
      <formula>D22&gt;#REF!</formula>
    </cfRule>
  </conditionalFormatting>
  <conditionalFormatting sqref="E22">
    <cfRule type="expression" dxfId="361" priority="41" stopIfTrue="1">
      <formula>E22&lt;#REF!</formula>
    </cfRule>
    <cfRule type="expression" dxfId="360" priority="42" stopIfTrue="1">
      <formula>E22&gt;#REF!</formula>
    </cfRule>
  </conditionalFormatting>
  <conditionalFormatting sqref="C29 F29:X29">
    <cfRule type="expression" dxfId="359" priority="31">
      <formula>C29&lt;#REF!</formula>
    </cfRule>
    <cfRule type="expression" dxfId="358" priority="32">
      <formula>C29&gt;#REF!</formula>
    </cfRule>
  </conditionalFormatting>
  <conditionalFormatting sqref="D29">
    <cfRule type="expression" dxfId="357" priority="33">
      <formula>D29&lt;#REF!</formula>
    </cfRule>
    <cfRule type="expression" dxfId="356" priority="34">
      <formula>D29&gt;#REF!</formula>
    </cfRule>
  </conditionalFormatting>
  <conditionalFormatting sqref="E29">
    <cfRule type="expression" dxfId="355" priority="35" stopIfTrue="1">
      <formula>E29&lt;#REF!</formula>
    </cfRule>
    <cfRule type="expression" dxfId="354" priority="36" stopIfTrue="1">
      <formula>E29&gt;#REF!</formula>
    </cfRule>
  </conditionalFormatting>
  <conditionalFormatting sqref="C36 F36:X36">
    <cfRule type="expression" dxfId="353" priority="25">
      <formula>C36&lt;#REF!</formula>
    </cfRule>
    <cfRule type="expression" dxfId="352" priority="26">
      <formula>C36&gt;#REF!</formula>
    </cfRule>
  </conditionalFormatting>
  <conditionalFormatting sqref="D36">
    <cfRule type="expression" dxfId="351" priority="27">
      <formula>D36&lt;#REF!</formula>
    </cfRule>
    <cfRule type="expression" dxfId="350" priority="28">
      <formula>D36&gt;#REF!</formula>
    </cfRule>
  </conditionalFormatting>
  <conditionalFormatting sqref="E36">
    <cfRule type="expression" dxfId="349" priority="29" stopIfTrue="1">
      <formula>E36&lt;#REF!</formula>
    </cfRule>
    <cfRule type="expression" dxfId="348" priority="30" stopIfTrue="1">
      <formula>E36&gt;#REF!</formula>
    </cfRule>
  </conditionalFormatting>
  <conditionalFormatting sqref="C43 F43:X43">
    <cfRule type="expression" dxfId="347" priority="19">
      <formula>C43&lt;#REF!</formula>
    </cfRule>
    <cfRule type="expression" dxfId="346" priority="20">
      <formula>C43&gt;#REF!</formula>
    </cfRule>
  </conditionalFormatting>
  <conditionalFormatting sqref="D43">
    <cfRule type="expression" dxfId="345" priority="21">
      <formula>D43&lt;#REF!</formula>
    </cfRule>
    <cfRule type="expression" dxfId="344" priority="22">
      <formula>D43&gt;#REF!</formula>
    </cfRule>
  </conditionalFormatting>
  <conditionalFormatting sqref="E43">
    <cfRule type="expression" dxfId="343" priority="23" stopIfTrue="1">
      <formula>E43&lt;#REF!</formula>
    </cfRule>
    <cfRule type="expression" dxfId="342" priority="24" stopIfTrue="1">
      <formula>E43&gt;#REF!</formula>
    </cfRule>
  </conditionalFormatting>
  <conditionalFormatting sqref="C50 F50:X50">
    <cfRule type="expression" dxfId="341" priority="13">
      <formula>C50&lt;#REF!</formula>
    </cfRule>
    <cfRule type="expression" dxfId="340" priority="14">
      <formula>C50&gt;#REF!</formula>
    </cfRule>
  </conditionalFormatting>
  <conditionalFormatting sqref="D50">
    <cfRule type="expression" dxfId="339" priority="15">
      <formula>D50&lt;#REF!</formula>
    </cfRule>
    <cfRule type="expression" dxfId="338" priority="16">
      <formula>D50&gt;#REF!</formula>
    </cfRule>
  </conditionalFormatting>
  <conditionalFormatting sqref="E50">
    <cfRule type="expression" dxfId="337" priority="17" stopIfTrue="1">
      <formula>E50&lt;#REF!</formula>
    </cfRule>
    <cfRule type="expression" dxfId="336" priority="18" stopIfTrue="1">
      <formula>E50&gt;#REF!</formula>
    </cfRule>
  </conditionalFormatting>
  <conditionalFormatting sqref="C57 F57:X57">
    <cfRule type="expression" dxfId="335" priority="7">
      <formula>C57&lt;#REF!</formula>
    </cfRule>
    <cfRule type="expression" dxfId="334" priority="8">
      <formula>C57&gt;#REF!</formula>
    </cfRule>
  </conditionalFormatting>
  <conditionalFormatting sqref="D57">
    <cfRule type="expression" dxfId="333" priority="9">
      <formula>D57&lt;#REF!</formula>
    </cfRule>
    <cfRule type="expression" dxfId="332" priority="10">
      <formula>D57&gt;#REF!</formula>
    </cfRule>
  </conditionalFormatting>
  <conditionalFormatting sqref="E57">
    <cfRule type="expression" dxfId="331" priority="11" stopIfTrue="1">
      <formula>E57&lt;#REF!</formula>
    </cfRule>
    <cfRule type="expression" dxfId="330" priority="12" stopIfTrue="1">
      <formula>E57&gt;#REF!</formula>
    </cfRule>
  </conditionalFormatting>
  <conditionalFormatting sqref="C64 F64:X64">
    <cfRule type="expression" dxfId="329" priority="1">
      <formula>C64&lt;#REF!</formula>
    </cfRule>
    <cfRule type="expression" dxfId="328" priority="2">
      <formula>C64&gt;#REF!</formula>
    </cfRule>
  </conditionalFormatting>
  <conditionalFormatting sqref="D64">
    <cfRule type="expression" dxfId="327" priority="3">
      <formula>D64&lt;#REF!</formula>
    </cfRule>
    <cfRule type="expression" dxfId="326" priority="4">
      <formula>D64&gt;#REF!</formula>
    </cfRule>
  </conditionalFormatting>
  <conditionalFormatting sqref="E64">
    <cfRule type="expression" dxfId="325" priority="5" stopIfTrue="1">
      <formula>E64&lt;#REF!</formula>
    </cfRule>
    <cfRule type="expression" dxfId="324" priority="6" stopIfTrue="1">
      <formula>E64&gt;#REF!</formula>
    </cfRule>
  </conditionalFormatting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9"/>
  <dimension ref="A1:X64"/>
  <sheetViews>
    <sheetView zoomScale="73" workbookViewId="0">
      <selection activeCell="E15" sqref="E15"/>
    </sheetView>
  </sheetViews>
  <sheetFormatPr defaultColWidth="8.81640625" defaultRowHeight="14.5" x14ac:dyDescent="0.35"/>
  <cols>
    <col min="1" max="1" width="16.1796875" customWidth="1"/>
    <col min="2" max="2" width="6.1796875" customWidth="1"/>
    <col min="3" max="3" width="18.453125" customWidth="1"/>
    <col min="4" max="4" width="19.81640625" customWidth="1"/>
    <col min="5" max="5" width="22.453125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0" width="18.54296875" customWidth="1"/>
    <col min="11" max="11" width="18.81640625" customWidth="1"/>
    <col min="12" max="12" width="17.1796875" bestFit="1" customWidth="1"/>
    <col min="13" max="13" width="19.453125" customWidth="1"/>
    <col min="14" max="14" width="22.453125" customWidth="1"/>
    <col min="15" max="15" width="20.1796875" customWidth="1"/>
    <col min="16" max="16" width="18.54296875" customWidth="1"/>
    <col min="17" max="17" width="17.1796875" bestFit="1" customWidth="1"/>
    <col min="18" max="18" width="18.81640625" customWidth="1"/>
    <col min="19" max="19" width="21.81640625" customWidth="1"/>
    <col min="20" max="20" width="17.1796875" bestFit="1" customWidth="1"/>
    <col min="21" max="21" width="25.81640625" customWidth="1"/>
    <col min="22" max="23" width="17.1796875" bestFit="1" customWidth="1"/>
    <col min="24" max="24" width="20.54296875" customWidth="1"/>
  </cols>
  <sheetData>
    <row r="1" spans="1:24" ht="15" thickBot="1" x14ac:dyDescent="0.4"/>
    <row r="2" spans="1:24" x14ac:dyDescent="0.35">
      <c r="E2" s="130" t="s">
        <v>533</v>
      </c>
      <c r="F2" s="131"/>
      <c r="G2" s="131" t="s">
        <v>104</v>
      </c>
      <c r="H2" s="131"/>
      <c r="I2" s="132"/>
    </row>
    <row r="3" spans="1:24" x14ac:dyDescent="0.35">
      <c r="E3" s="133"/>
      <c r="F3" s="134" t="s">
        <v>504</v>
      </c>
      <c r="G3" s="135"/>
      <c r="H3" s="134"/>
      <c r="I3" s="136"/>
    </row>
    <row r="4" spans="1:24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24" ht="30.65" customHeight="1" x14ac:dyDescent="0.35">
      <c r="A5" s="141" t="s">
        <v>534</v>
      </c>
      <c r="B5" t="s">
        <v>535</v>
      </c>
    </row>
    <row r="6" spans="1:24" ht="28.4" customHeight="1" x14ac:dyDescent="0.35">
      <c r="A6" s="142" t="s">
        <v>200</v>
      </c>
      <c r="B6" s="169"/>
      <c r="C6" s="142" t="s">
        <v>507</v>
      </c>
      <c r="D6" s="142" t="s">
        <v>508</v>
      </c>
      <c r="E6" s="142" t="s">
        <v>509</v>
      </c>
      <c r="F6" s="142" t="s">
        <v>510</v>
      </c>
      <c r="G6" s="143" t="s">
        <v>511</v>
      </c>
      <c r="H6" s="143" t="s">
        <v>512</v>
      </c>
      <c r="I6" s="143" t="s">
        <v>513</v>
      </c>
      <c r="J6" s="142" t="s">
        <v>514</v>
      </c>
      <c r="K6" s="142" t="s">
        <v>515</v>
      </c>
      <c r="L6" s="142" t="s">
        <v>516</v>
      </c>
      <c r="M6" s="142" t="s">
        <v>517</v>
      </c>
      <c r="N6" s="142" t="s">
        <v>518</v>
      </c>
      <c r="O6" s="142" t="s">
        <v>519</v>
      </c>
      <c r="P6" s="142" t="s">
        <v>520</v>
      </c>
      <c r="Q6" s="144" t="s">
        <v>521</v>
      </c>
      <c r="R6" s="144" t="s">
        <v>522</v>
      </c>
      <c r="S6" s="142" t="s">
        <v>523</v>
      </c>
      <c r="T6" s="142" t="s">
        <v>524</v>
      </c>
      <c r="U6" s="142" t="s">
        <v>525</v>
      </c>
      <c r="V6" s="142" t="s">
        <v>526</v>
      </c>
      <c r="W6" s="142" t="s">
        <v>527</v>
      </c>
      <c r="X6" s="142" t="s">
        <v>536</v>
      </c>
    </row>
    <row r="7" spans="1:24" x14ac:dyDescent="0.35">
      <c r="A7" s="252" t="s">
        <v>137</v>
      </c>
      <c r="B7" s="252"/>
      <c r="C7" s="145" t="s">
        <v>286</v>
      </c>
      <c r="D7" s="145" t="s">
        <v>529</v>
      </c>
      <c r="E7" s="145" t="s">
        <v>141</v>
      </c>
      <c r="F7" s="145" t="s">
        <v>287</v>
      </c>
      <c r="G7" s="145" t="s">
        <v>215</v>
      </c>
      <c r="H7" s="145" t="s">
        <v>142</v>
      </c>
      <c r="I7" s="145" t="s">
        <v>143</v>
      </c>
      <c r="J7" s="145" t="s">
        <v>320</v>
      </c>
      <c r="K7" s="145" t="s">
        <v>288</v>
      </c>
      <c r="L7" s="145" t="s">
        <v>144</v>
      </c>
      <c r="M7" s="145" t="s">
        <v>145</v>
      </c>
      <c r="N7" s="145" t="s">
        <v>146</v>
      </c>
      <c r="O7" s="145" t="s">
        <v>530</v>
      </c>
      <c r="P7" s="145" t="s">
        <v>147</v>
      </c>
      <c r="Q7" s="145" t="s">
        <v>148</v>
      </c>
      <c r="R7" s="145" t="s">
        <v>149</v>
      </c>
      <c r="S7" s="145" t="s">
        <v>150</v>
      </c>
      <c r="T7" s="145" t="s">
        <v>151</v>
      </c>
      <c r="U7" s="145" t="s">
        <v>153</v>
      </c>
      <c r="V7" s="145" t="s">
        <v>154</v>
      </c>
      <c r="W7" s="145" t="s">
        <v>155</v>
      </c>
      <c r="X7" s="145" t="s">
        <v>289</v>
      </c>
    </row>
    <row r="8" spans="1:24" x14ac:dyDescent="0.35">
      <c r="A8" s="253" t="s">
        <v>158</v>
      </c>
      <c r="B8" s="253"/>
      <c r="C8" s="147">
        <v>1</v>
      </c>
      <c r="D8" s="148">
        <v>1</v>
      </c>
      <c r="E8" s="147">
        <v>2</v>
      </c>
      <c r="F8" s="147">
        <v>1</v>
      </c>
      <c r="G8" s="147">
        <v>2</v>
      </c>
      <c r="H8" s="147">
        <v>1</v>
      </c>
      <c r="I8" s="147">
        <v>1</v>
      </c>
      <c r="J8" s="147">
        <v>1</v>
      </c>
      <c r="K8" s="147">
        <v>1</v>
      </c>
      <c r="L8" s="147">
        <v>1</v>
      </c>
      <c r="M8" s="147">
        <v>2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1</v>
      </c>
      <c r="U8" s="147">
        <v>1</v>
      </c>
      <c r="V8" s="147">
        <v>1</v>
      </c>
      <c r="W8" s="147">
        <v>4</v>
      </c>
      <c r="X8" s="147">
        <v>1</v>
      </c>
    </row>
    <row r="9" spans="1:24" x14ac:dyDescent="0.35">
      <c r="A9" s="150" t="s">
        <v>159</v>
      </c>
      <c r="B9" s="151"/>
      <c r="C9" s="173" t="s">
        <v>225</v>
      </c>
      <c r="D9" s="173" t="s">
        <v>225</v>
      </c>
      <c r="E9" s="152"/>
      <c r="F9" s="173" t="s">
        <v>225</v>
      </c>
      <c r="G9" s="173" t="s">
        <v>225</v>
      </c>
      <c r="H9" s="152"/>
      <c r="I9" s="152"/>
      <c r="J9" s="173" t="s">
        <v>225</v>
      </c>
      <c r="K9" s="154"/>
      <c r="L9" s="173" t="s">
        <v>225</v>
      </c>
      <c r="M9" s="173" t="s">
        <v>225</v>
      </c>
      <c r="N9" s="173" t="s">
        <v>225</v>
      </c>
      <c r="O9" s="173" t="s">
        <v>225</v>
      </c>
      <c r="P9" s="173" t="s">
        <v>225</v>
      </c>
      <c r="Q9" s="152"/>
      <c r="R9" s="173" t="s">
        <v>225</v>
      </c>
      <c r="S9" s="173" t="s">
        <v>225</v>
      </c>
      <c r="T9" s="173" t="s">
        <v>225</v>
      </c>
      <c r="U9" s="152"/>
      <c r="V9" s="173" t="s">
        <v>225</v>
      </c>
      <c r="W9" s="152"/>
      <c r="X9" s="173" t="s">
        <v>225</v>
      </c>
    </row>
    <row r="10" spans="1:24" x14ac:dyDescent="0.35">
      <c r="A10" s="155" t="s">
        <v>161</v>
      </c>
      <c r="B10" s="156" t="s">
        <v>162</v>
      </c>
      <c r="C10" s="172">
        <v>0</v>
      </c>
      <c r="D10" s="172">
        <v>0</v>
      </c>
      <c r="E10" s="157"/>
      <c r="F10" s="172">
        <v>0</v>
      </c>
      <c r="G10" s="172">
        <v>0</v>
      </c>
      <c r="H10" s="157"/>
      <c r="I10" s="157"/>
      <c r="J10" s="172">
        <v>0</v>
      </c>
      <c r="K10" s="157"/>
      <c r="L10" s="172">
        <v>0</v>
      </c>
      <c r="M10" s="172">
        <v>0</v>
      </c>
      <c r="N10" s="172">
        <v>0</v>
      </c>
      <c r="O10" s="172">
        <v>0</v>
      </c>
      <c r="P10" s="172">
        <v>0</v>
      </c>
      <c r="Q10" s="157"/>
      <c r="R10" s="172">
        <v>0</v>
      </c>
      <c r="S10" s="172">
        <v>0</v>
      </c>
      <c r="T10" s="172">
        <v>0</v>
      </c>
      <c r="U10" s="157"/>
      <c r="V10" s="172">
        <v>0</v>
      </c>
      <c r="W10" s="157"/>
      <c r="X10" s="172">
        <v>0</v>
      </c>
    </row>
    <row r="11" spans="1:24" x14ac:dyDescent="0.35">
      <c r="A11" s="155" t="s">
        <v>161</v>
      </c>
      <c r="B11" s="156" t="s">
        <v>163</v>
      </c>
      <c r="C11" s="172">
        <v>5338</v>
      </c>
      <c r="D11" s="172">
        <v>8590</v>
      </c>
      <c r="E11" s="157"/>
      <c r="F11" s="172">
        <v>8590</v>
      </c>
      <c r="G11" s="172">
        <v>5338</v>
      </c>
      <c r="H11" s="157"/>
      <c r="I11" s="157"/>
      <c r="J11" s="172">
        <v>5338</v>
      </c>
      <c r="K11" s="157"/>
      <c r="L11" s="172">
        <v>8590</v>
      </c>
      <c r="M11" s="172">
        <v>5338</v>
      </c>
      <c r="N11" s="172">
        <v>8590</v>
      </c>
      <c r="O11" s="172">
        <v>5338</v>
      </c>
      <c r="P11" s="172">
        <v>5338</v>
      </c>
      <c r="Q11" s="157"/>
      <c r="R11" s="172">
        <v>5338</v>
      </c>
      <c r="S11" s="172">
        <v>8590</v>
      </c>
      <c r="T11" s="172">
        <v>5338</v>
      </c>
      <c r="U11" s="157"/>
      <c r="V11" s="172">
        <v>5338</v>
      </c>
      <c r="W11" s="157"/>
      <c r="X11" s="172">
        <v>8590</v>
      </c>
    </row>
    <row r="12" spans="1:24" x14ac:dyDescent="0.35">
      <c r="A12" s="155" t="s">
        <v>164</v>
      </c>
      <c r="B12" s="156"/>
      <c r="C12" s="178">
        <v>43344</v>
      </c>
      <c r="D12" s="176">
        <v>43666</v>
      </c>
      <c r="E12" s="157"/>
      <c r="F12" s="176">
        <v>43666</v>
      </c>
      <c r="G12" s="178">
        <v>43344</v>
      </c>
      <c r="H12" s="157"/>
      <c r="I12" s="157"/>
      <c r="J12" s="178">
        <v>43344</v>
      </c>
      <c r="K12" s="157"/>
      <c r="L12" s="176">
        <v>43666</v>
      </c>
      <c r="M12" s="178">
        <v>43344</v>
      </c>
      <c r="N12" s="176">
        <v>43666</v>
      </c>
      <c r="O12" s="178">
        <v>43344</v>
      </c>
      <c r="P12" s="178">
        <v>43344</v>
      </c>
      <c r="Q12" s="157"/>
      <c r="R12" s="178">
        <v>43344</v>
      </c>
      <c r="S12" s="176">
        <v>43666</v>
      </c>
      <c r="T12" s="178">
        <v>43344</v>
      </c>
      <c r="U12" s="157"/>
      <c r="V12" s="178">
        <v>43344</v>
      </c>
      <c r="W12" s="157"/>
      <c r="X12" s="176">
        <v>43666</v>
      </c>
    </row>
    <row r="13" spans="1:24" ht="29" x14ac:dyDescent="0.35">
      <c r="A13" s="160" t="s">
        <v>165</v>
      </c>
      <c r="B13" s="161"/>
      <c r="C13" s="162" t="s">
        <v>166</v>
      </c>
      <c r="D13" s="162" t="s">
        <v>166</v>
      </c>
      <c r="E13" s="157"/>
      <c r="F13" s="162" t="s">
        <v>166</v>
      </c>
      <c r="G13" s="162" t="s">
        <v>166</v>
      </c>
      <c r="H13" s="157"/>
      <c r="I13" s="157"/>
      <c r="J13" s="162" t="s">
        <v>166</v>
      </c>
      <c r="K13" s="157"/>
      <c r="L13" s="162" t="s">
        <v>166</v>
      </c>
      <c r="M13" s="162" t="s">
        <v>166</v>
      </c>
      <c r="N13" s="162" t="s">
        <v>166</v>
      </c>
      <c r="O13" s="162" t="s">
        <v>166</v>
      </c>
      <c r="P13" s="162" t="s">
        <v>166</v>
      </c>
      <c r="Q13" s="157"/>
      <c r="R13" s="162" t="s">
        <v>166</v>
      </c>
      <c r="S13" s="162" t="s">
        <v>166</v>
      </c>
      <c r="T13" s="162" t="s">
        <v>166</v>
      </c>
      <c r="U13" s="157"/>
      <c r="V13" s="162" t="s">
        <v>166</v>
      </c>
      <c r="W13" s="157"/>
      <c r="X13" s="162" t="s">
        <v>166</v>
      </c>
    </row>
    <row r="14" spans="1:24" x14ac:dyDescent="0.35">
      <c r="A14" s="225" t="s">
        <v>167</v>
      </c>
      <c r="B14" s="225"/>
      <c r="C14" s="225">
        <f>IFERROR(C11-C10,"")</f>
        <v>5338</v>
      </c>
      <c r="D14" s="225">
        <f t="shared" ref="D14:X14" si="0">IFERROR(D11-D10,"")</f>
        <v>8590</v>
      </c>
      <c r="E14" s="225">
        <f t="shared" si="0"/>
        <v>0</v>
      </c>
      <c r="F14" s="225">
        <f t="shared" si="0"/>
        <v>8590</v>
      </c>
      <c r="G14" s="225">
        <f t="shared" si="0"/>
        <v>5338</v>
      </c>
      <c r="H14" s="225">
        <f t="shared" si="0"/>
        <v>0</v>
      </c>
      <c r="I14" s="225">
        <f t="shared" si="0"/>
        <v>0</v>
      </c>
      <c r="J14" s="225">
        <f t="shared" si="0"/>
        <v>5338</v>
      </c>
      <c r="K14" s="225">
        <f t="shared" si="0"/>
        <v>0</v>
      </c>
      <c r="L14" s="225">
        <f t="shared" si="0"/>
        <v>8590</v>
      </c>
      <c r="M14" s="225">
        <f t="shared" si="0"/>
        <v>5338</v>
      </c>
      <c r="N14" s="225">
        <f t="shared" si="0"/>
        <v>8590</v>
      </c>
      <c r="O14" s="225">
        <f t="shared" si="0"/>
        <v>5338</v>
      </c>
      <c r="P14" s="225">
        <f t="shared" si="0"/>
        <v>5338</v>
      </c>
      <c r="Q14" s="225">
        <f t="shared" si="0"/>
        <v>0</v>
      </c>
      <c r="R14" s="225">
        <f t="shared" si="0"/>
        <v>5338</v>
      </c>
      <c r="S14" s="225">
        <f t="shared" si="0"/>
        <v>8590</v>
      </c>
      <c r="T14" s="225">
        <f t="shared" si="0"/>
        <v>5338</v>
      </c>
      <c r="U14" s="225">
        <f t="shared" si="0"/>
        <v>0</v>
      </c>
      <c r="V14" s="225">
        <f t="shared" si="0"/>
        <v>5338</v>
      </c>
      <c r="W14" s="225">
        <f t="shared" si="0"/>
        <v>0</v>
      </c>
      <c r="X14" s="225">
        <f t="shared" si="0"/>
        <v>8590</v>
      </c>
    </row>
    <row r="15" spans="1:24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</row>
    <row r="16" spans="1:24" x14ac:dyDescent="0.35">
      <c r="A16" s="150" t="s">
        <v>159</v>
      </c>
      <c r="B16" s="151"/>
      <c r="C16" s="163"/>
      <c r="D16" s="154"/>
      <c r="E16" s="154"/>
      <c r="F16" s="154"/>
      <c r="G16" s="154"/>
      <c r="H16" s="154"/>
      <c r="I16" s="154"/>
      <c r="J16" s="178">
        <v>43344</v>
      </c>
      <c r="K16" s="154"/>
      <c r="L16" s="176">
        <v>43666</v>
      </c>
      <c r="M16" s="154"/>
      <c r="N16" s="176">
        <v>43666</v>
      </c>
      <c r="O16" s="178">
        <v>43344</v>
      </c>
      <c r="P16" s="178">
        <v>43344</v>
      </c>
      <c r="Q16" s="154"/>
      <c r="R16" s="178">
        <v>43344</v>
      </c>
      <c r="S16" s="176">
        <v>43666</v>
      </c>
      <c r="T16" s="178">
        <v>43344</v>
      </c>
      <c r="U16" s="154"/>
      <c r="V16" s="154"/>
      <c r="W16" s="154"/>
      <c r="X16" s="176">
        <v>43666</v>
      </c>
    </row>
    <row r="17" spans="1:24" x14ac:dyDescent="0.35">
      <c r="A17" s="155" t="s">
        <v>161</v>
      </c>
      <c r="B17" s="156" t="s">
        <v>162</v>
      </c>
      <c r="C17" s="165"/>
      <c r="D17" s="157"/>
      <c r="E17" s="157"/>
      <c r="F17" s="157"/>
      <c r="G17" s="157"/>
      <c r="H17" s="157"/>
      <c r="I17" s="157"/>
      <c r="J17" s="172">
        <v>5338</v>
      </c>
      <c r="K17" s="157"/>
      <c r="L17" s="172">
        <v>8590</v>
      </c>
      <c r="M17" s="157"/>
      <c r="N17" s="172">
        <v>8590</v>
      </c>
      <c r="O17" s="172">
        <v>5338</v>
      </c>
      <c r="P17" s="172">
        <v>5338</v>
      </c>
      <c r="Q17" s="157"/>
      <c r="R17" s="172">
        <v>5338</v>
      </c>
      <c r="S17" s="172">
        <v>8590</v>
      </c>
      <c r="T17" s="172">
        <v>5338</v>
      </c>
      <c r="U17" s="157"/>
      <c r="V17" s="157"/>
      <c r="W17" s="157"/>
      <c r="X17" s="172">
        <v>8590</v>
      </c>
    </row>
    <row r="18" spans="1:24" x14ac:dyDescent="0.35">
      <c r="A18" s="155" t="s">
        <v>161</v>
      </c>
      <c r="B18" s="156" t="s">
        <v>163</v>
      </c>
      <c r="C18" s="165"/>
      <c r="D18" s="157"/>
      <c r="E18" s="157"/>
      <c r="F18" s="157"/>
      <c r="G18" s="157"/>
      <c r="H18" s="157"/>
      <c r="I18" s="157"/>
      <c r="J18" s="172">
        <v>8590</v>
      </c>
      <c r="K18" s="157"/>
      <c r="L18" s="172">
        <v>11071</v>
      </c>
      <c r="M18" s="157"/>
      <c r="N18" s="172">
        <v>11071</v>
      </c>
      <c r="O18" s="172">
        <v>8590</v>
      </c>
      <c r="P18" s="172">
        <v>8590</v>
      </c>
      <c r="Q18" s="157"/>
      <c r="R18" s="172">
        <v>11071</v>
      </c>
      <c r="S18" s="172">
        <v>11071</v>
      </c>
      <c r="T18" s="172">
        <v>8590</v>
      </c>
      <c r="U18" s="157"/>
      <c r="V18" s="157"/>
      <c r="W18" s="157"/>
      <c r="X18" s="172">
        <v>11071</v>
      </c>
    </row>
    <row r="19" spans="1:24" x14ac:dyDescent="0.35">
      <c r="A19" s="155" t="s">
        <v>164</v>
      </c>
      <c r="B19" s="156"/>
      <c r="C19" s="165"/>
      <c r="D19" s="157"/>
      <c r="E19" s="157"/>
      <c r="F19" s="157"/>
      <c r="G19" s="157"/>
      <c r="H19" s="157"/>
      <c r="I19" s="157"/>
      <c r="J19" s="176">
        <v>43666</v>
      </c>
      <c r="K19" s="157"/>
      <c r="L19" s="178">
        <v>43807</v>
      </c>
      <c r="M19" s="157"/>
      <c r="N19" s="178">
        <v>43807</v>
      </c>
      <c r="O19" s="176">
        <v>43666</v>
      </c>
      <c r="P19" s="176">
        <v>43666</v>
      </c>
      <c r="Q19" s="157"/>
      <c r="R19" s="178">
        <v>43807</v>
      </c>
      <c r="S19" s="178">
        <v>43807</v>
      </c>
      <c r="T19" s="176">
        <v>43666</v>
      </c>
      <c r="U19" s="157"/>
      <c r="V19" s="157"/>
      <c r="W19" s="157"/>
      <c r="X19" s="178">
        <v>43807</v>
      </c>
    </row>
    <row r="20" spans="1:24" ht="29" x14ac:dyDescent="0.35">
      <c r="A20" s="160" t="s">
        <v>165</v>
      </c>
      <c r="B20" s="167"/>
      <c r="C20" s="165"/>
      <c r="D20" s="157"/>
      <c r="E20" s="157"/>
      <c r="F20" s="157"/>
      <c r="G20" s="157"/>
      <c r="H20" s="157"/>
      <c r="I20" s="157"/>
      <c r="J20" s="162" t="s">
        <v>166</v>
      </c>
      <c r="K20" s="157"/>
      <c r="L20" s="162" t="s">
        <v>166</v>
      </c>
      <c r="M20" s="157"/>
      <c r="N20" s="162" t="s">
        <v>166</v>
      </c>
      <c r="O20" s="162" t="s">
        <v>166</v>
      </c>
      <c r="P20" s="162" t="s">
        <v>166</v>
      </c>
      <c r="Q20" s="157"/>
      <c r="R20" s="162" t="s">
        <v>166</v>
      </c>
      <c r="S20" s="162" t="s">
        <v>166</v>
      </c>
      <c r="T20" s="162" t="s">
        <v>166</v>
      </c>
      <c r="U20" s="157"/>
      <c r="V20" s="157"/>
      <c r="W20" s="157"/>
      <c r="X20" s="162" t="s">
        <v>166</v>
      </c>
    </row>
    <row r="21" spans="1:24" x14ac:dyDescent="0.35">
      <c r="A21" s="225" t="s">
        <v>167</v>
      </c>
      <c r="B21" s="225"/>
      <c r="C21" s="225">
        <f>IFERROR(C18-C17,"")</f>
        <v>0</v>
      </c>
      <c r="D21" s="225">
        <f t="shared" ref="D21:X21" si="1">IFERROR(D18-D17,"")</f>
        <v>0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0</v>
      </c>
      <c r="J21" s="225">
        <f t="shared" si="1"/>
        <v>3252</v>
      </c>
      <c r="K21" s="225">
        <f t="shared" si="1"/>
        <v>0</v>
      </c>
      <c r="L21" s="225">
        <f t="shared" si="1"/>
        <v>2481</v>
      </c>
      <c r="M21" s="225">
        <f t="shared" si="1"/>
        <v>0</v>
      </c>
      <c r="N21" s="225">
        <f t="shared" si="1"/>
        <v>2481</v>
      </c>
      <c r="O21" s="225">
        <f t="shared" si="1"/>
        <v>3252</v>
      </c>
      <c r="P21" s="225">
        <f t="shared" si="1"/>
        <v>3252</v>
      </c>
      <c r="Q21" s="225">
        <f t="shared" si="1"/>
        <v>0</v>
      </c>
      <c r="R21" s="225">
        <f t="shared" si="1"/>
        <v>5733</v>
      </c>
      <c r="S21" s="225">
        <f t="shared" si="1"/>
        <v>2481</v>
      </c>
      <c r="T21" s="225">
        <f t="shared" si="1"/>
        <v>3252</v>
      </c>
      <c r="U21" s="225">
        <f t="shared" si="1"/>
        <v>0</v>
      </c>
      <c r="V21" s="225">
        <f t="shared" si="1"/>
        <v>0</v>
      </c>
      <c r="W21" s="225">
        <f t="shared" si="1"/>
        <v>0</v>
      </c>
      <c r="X21" s="225">
        <f t="shared" si="1"/>
        <v>2481</v>
      </c>
    </row>
    <row r="22" spans="1:24" ht="16.399999999999999" customHeight="1" x14ac:dyDescent="0.35">
      <c r="A22" s="65" t="s">
        <v>2</v>
      </c>
      <c r="B22" s="65"/>
      <c r="C22" s="65">
        <f>AVERAGE(C14,C21)</f>
        <v>2669</v>
      </c>
      <c r="D22" s="65">
        <f t="shared" ref="D22:X22" si="2">AVERAGE(D14,D21)</f>
        <v>4295</v>
      </c>
      <c r="E22" s="65">
        <f t="shared" si="2"/>
        <v>0</v>
      </c>
      <c r="F22" s="65">
        <f t="shared" si="2"/>
        <v>4295</v>
      </c>
      <c r="G22" s="65">
        <f t="shared" si="2"/>
        <v>2669</v>
      </c>
      <c r="H22" s="65">
        <f t="shared" si="2"/>
        <v>0</v>
      </c>
      <c r="I22" s="65">
        <f t="shared" si="2"/>
        <v>0</v>
      </c>
      <c r="J22" s="65">
        <f t="shared" si="2"/>
        <v>4295</v>
      </c>
      <c r="K22" s="65">
        <f t="shared" si="2"/>
        <v>0</v>
      </c>
      <c r="L22" s="65">
        <f t="shared" si="2"/>
        <v>5535.5</v>
      </c>
      <c r="M22" s="65">
        <f t="shared" si="2"/>
        <v>2669</v>
      </c>
      <c r="N22" s="65">
        <f t="shared" si="2"/>
        <v>5535.5</v>
      </c>
      <c r="O22" s="65">
        <f t="shared" si="2"/>
        <v>4295</v>
      </c>
      <c r="P22" s="65">
        <f t="shared" si="2"/>
        <v>4295</v>
      </c>
      <c r="Q22" s="65">
        <f t="shared" si="2"/>
        <v>0</v>
      </c>
      <c r="R22" s="65">
        <f t="shared" si="2"/>
        <v>5535.5</v>
      </c>
      <c r="S22" s="65">
        <f t="shared" si="2"/>
        <v>5535.5</v>
      </c>
      <c r="T22" s="65">
        <f t="shared" si="2"/>
        <v>4295</v>
      </c>
      <c r="U22" s="65">
        <f t="shared" si="2"/>
        <v>0</v>
      </c>
      <c r="V22" s="65">
        <f t="shared" si="2"/>
        <v>2669</v>
      </c>
      <c r="W22" s="65">
        <f t="shared" si="2"/>
        <v>0</v>
      </c>
      <c r="X22" s="65">
        <f t="shared" si="2"/>
        <v>5535.5</v>
      </c>
    </row>
    <row r="23" spans="1:24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2"/>
      <c r="O23" s="152"/>
      <c r="P23" s="152"/>
      <c r="Q23" s="154"/>
      <c r="R23" s="168"/>
      <c r="S23" s="154"/>
      <c r="T23" s="176">
        <v>43666</v>
      </c>
      <c r="U23" s="154"/>
      <c r="V23" s="154"/>
      <c r="W23" s="154"/>
      <c r="X23" s="154"/>
    </row>
    <row r="24" spans="1:24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/>
      <c r="S24" s="157"/>
      <c r="T24" s="172">
        <v>8590</v>
      </c>
      <c r="U24" s="157"/>
      <c r="V24" s="157"/>
      <c r="W24" s="157"/>
      <c r="X24" s="157"/>
    </row>
    <row r="25" spans="1:24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72">
        <v>11071</v>
      </c>
      <c r="U25" s="157"/>
      <c r="V25" s="157"/>
      <c r="W25" s="157"/>
      <c r="X25" s="157"/>
    </row>
    <row r="26" spans="1:24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/>
      <c r="O26" s="157"/>
      <c r="P26" s="157"/>
      <c r="Q26" s="157"/>
      <c r="R26" s="157"/>
      <c r="S26" s="157"/>
      <c r="T26" s="178">
        <v>43807</v>
      </c>
      <c r="U26" s="157"/>
      <c r="V26" s="157"/>
      <c r="W26" s="157"/>
      <c r="X26" s="157"/>
    </row>
    <row r="27" spans="1:24" ht="29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62" t="s">
        <v>166</v>
      </c>
      <c r="U27" s="157"/>
      <c r="V27" s="157"/>
      <c r="W27" s="157"/>
      <c r="X27" s="157"/>
    </row>
    <row r="28" spans="1:24" x14ac:dyDescent="0.35">
      <c r="A28" s="225" t="s">
        <v>167</v>
      </c>
      <c r="B28" s="225"/>
      <c r="C28" s="225">
        <f>IFERROR(C25-C24,"")</f>
        <v>0</v>
      </c>
      <c r="D28" s="225">
        <f t="shared" ref="D28:X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0</v>
      </c>
      <c r="O28" s="225">
        <f t="shared" si="3"/>
        <v>0</v>
      </c>
      <c r="P28" s="225">
        <f t="shared" si="3"/>
        <v>0</v>
      </c>
      <c r="Q28" s="225">
        <f t="shared" si="3"/>
        <v>0</v>
      </c>
      <c r="R28" s="225">
        <f t="shared" si="3"/>
        <v>0</v>
      </c>
      <c r="S28" s="225">
        <f t="shared" si="3"/>
        <v>0</v>
      </c>
      <c r="T28" s="225">
        <f t="shared" si="3"/>
        <v>2481</v>
      </c>
      <c r="U28" s="225">
        <f t="shared" si="3"/>
        <v>0</v>
      </c>
      <c r="V28" s="225">
        <f t="shared" si="3"/>
        <v>0</v>
      </c>
      <c r="W28" s="225">
        <f t="shared" si="3"/>
        <v>0</v>
      </c>
      <c r="X28" s="225">
        <f t="shared" si="3"/>
        <v>0</v>
      </c>
    </row>
    <row r="29" spans="1:24" ht="16.399999999999999" customHeight="1" x14ac:dyDescent="0.35">
      <c r="A29" s="65" t="s">
        <v>2</v>
      </c>
      <c r="B29" s="65"/>
      <c r="C29" s="65">
        <f>AVERAGE(C21,C28,C14)</f>
        <v>1779.3333333333333</v>
      </c>
      <c r="D29" s="65">
        <f t="shared" ref="D29:X29" si="4">AVERAGE(D21,D28,D14)</f>
        <v>2863.3333333333335</v>
      </c>
      <c r="E29" s="65">
        <f t="shared" si="4"/>
        <v>0</v>
      </c>
      <c r="F29" s="65">
        <f t="shared" si="4"/>
        <v>2863.3333333333335</v>
      </c>
      <c r="G29" s="65">
        <f t="shared" si="4"/>
        <v>1779.3333333333333</v>
      </c>
      <c r="H29" s="65">
        <f t="shared" si="4"/>
        <v>0</v>
      </c>
      <c r="I29" s="65">
        <f t="shared" si="4"/>
        <v>0</v>
      </c>
      <c r="J29" s="65">
        <f t="shared" si="4"/>
        <v>2863.3333333333335</v>
      </c>
      <c r="K29" s="65">
        <f t="shared" si="4"/>
        <v>0</v>
      </c>
      <c r="L29" s="65">
        <f t="shared" si="4"/>
        <v>3690.3333333333335</v>
      </c>
      <c r="M29" s="65">
        <f t="shared" si="4"/>
        <v>1779.3333333333333</v>
      </c>
      <c r="N29" s="65">
        <f t="shared" si="4"/>
        <v>3690.3333333333335</v>
      </c>
      <c r="O29" s="65">
        <f t="shared" si="4"/>
        <v>2863.3333333333335</v>
      </c>
      <c r="P29" s="65">
        <f t="shared" si="4"/>
        <v>2863.3333333333335</v>
      </c>
      <c r="Q29" s="65">
        <f t="shared" si="4"/>
        <v>0</v>
      </c>
      <c r="R29" s="65">
        <f t="shared" si="4"/>
        <v>3690.3333333333335</v>
      </c>
      <c r="S29" s="65">
        <f t="shared" si="4"/>
        <v>3690.3333333333335</v>
      </c>
      <c r="T29" s="65">
        <f t="shared" si="4"/>
        <v>3690.3333333333335</v>
      </c>
      <c r="U29" s="65">
        <f t="shared" si="4"/>
        <v>0</v>
      </c>
      <c r="V29" s="65">
        <f t="shared" si="4"/>
        <v>1779.3333333333333</v>
      </c>
      <c r="W29" s="65">
        <f t="shared" si="4"/>
        <v>0</v>
      </c>
      <c r="X29" s="65">
        <f t="shared" si="4"/>
        <v>3690.3333333333335</v>
      </c>
    </row>
    <row r="30" spans="1:24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/>
      <c r="O30" s="152"/>
      <c r="P30" s="152"/>
      <c r="Q30" s="154"/>
      <c r="R30" s="154"/>
      <c r="S30" s="154"/>
      <c r="T30" s="154"/>
      <c r="U30" s="154"/>
      <c r="V30" s="154"/>
      <c r="W30" s="154"/>
      <c r="X30" s="154"/>
    </row>
    <row r="31" spans="1:24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  <c r="W31" s="157"/>
      <c r="X31" s="157"/>
    </row>
    <row r="32" spans="1:24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72">
        <v>11070</v>
      </c>
      <c r="U32" s="157"/>
      <c r="V32" s="157"/>
      <c r="W32" s="157"/>
      <c r="X32" s="157"/>
    </row>
    <row r="33" spans="1:24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</row>
    <row r="34" spans="1:24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  <c r="X34" s="157"/>
    </row>
    <row r="35" spans="1:24" x14ac:dyDescent="0.35">
      <c r="A35" s="225" t="s">
        <v>167</v>
      </c>
      <c r="B35" s="225"/>
      <c r="C35" s="225">
        <f>IFERROR(C32-C31,"")</f>
        <v>0</v>
      </c>
      <c r="D35" s="225">
        <f t="shared" ref="D35:X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0</v>
      </c>
      <c r="P35" s="225">
        <f t="shared" si="5"/>
        <v>0</v>
      </c>
      <c r="Q35" s="225">
        <f t="shared" si="5"/>
        <v>0</v>
      </c>
      <c r="R35" s="225">
        <f t="shared" si="5"/>
        <v>0</v>
      </c>
      <c r="S35" s="225">
        <f t="shared" si="5"/>
        <v>0</v>
      </c>
      <c r="T35" s="225">
        <f t="shared" si="5"/>
        <v>11070</v>
      </c>
      <c r="U35" s="225">
        <f t="shared" si="5"/>
        <v>0</v>
      </c>
      <c r="V35" s="225">
        <f t="shared" si="5"/>
        <v>0</v>
      </c>
      <c r="W35" s="225">
        <f t="shared" si="5"/>
        <v>0</v>
      </c>
      <c r="X35" s="225">
        <f t="shared" si="5"/>
        <v>0</v>
      </c>
    </row>
    <row r="36" spans="1:24" ht="16.399999999999999" customHeight="1" x14ac:dyDescent="0.35">
      <c r="A36" s="65" t="s">
        <v>2</v>
      </c>
      <c r="B36" s="65"/>
      <c r="C36" s="65">
        <f>AVERAGE(C28,C35,C21,C14)</f>
        <v>1334.5</v>
      </c>
      <c r="D36" s="65">
        <f t="shared" ref="D36:X36" si="6">AVERAGE(D28,D35,D21,D14)</f>
        <v>2147.5</v>
      </c>
      <c r="E36" s="65">
        <f t="shared" si="6"/>
        <v>0</v>
      </c>
      <c r="F36" s="65">
        <f t="shared" si="6"/>
        <v>2147.5</v>
      </c>
      <c r="G36" s="65">
        <f t="shared" si="6"/>
        <v>1334.5</v>
      </c>
      <c r="H36" s="65">
        <f t="shared" si="6"/>
        <v>0</v>
      </c>
      <c r="I36" s="65">
        <f t="shared" si="6"/>
        <v>0</v>
      </c>
      <c r="J36" s="65">
        <f t="shared" si="6"/>
        <v>2147.5</v>
      </c>
      <c r="K36" s="65">
        <f t="shared" si="6"/>
        <v>0</v>
      </c>
      <c r="L36" s="65">
        <f t="shared" si="6"/>
        <v>2767.75</v>
      </c>
      <c r="M36" s="65">
        <f t="shared" si="6"/>
        <v>1334.5</v>
      </c>
      <c r="N36" s="65">
        <f t="shared" si="6"/>
        <v>2767.75</v>
      </c>
      <c r="O36" s="65">
        <f t="shared" si="6"/>
        <v>2147.5</v>
      </c>
      <c r="P36" s="65">
        <f t="shared" si="6"/>
        <v>2147.5</v>
      </c>
      <c r="Q36" s="65">
        <f t="shared" si="6"/>
        <v>0</v>
      </c>
      <c r="R36" s="65">
        <f t="shared" si="6"/>
        <v>2767.75</v>
      </c>
      <c r="S36" s="65">
        <f t="shared" si="6"/>
        <v>2767.75</v>
      </c>
      <c r="T36" s="65">
        <f t="shared" si="6"/>
        <v>5535.25</v>
      </c>
      <c r="U36" s="65">
        <f t="shared" si="6"/>
        <v>0</v>
      </c>
      <c r="V36" s="65">
        <f t="shared" si="6"/>
        <v>1334.5</v>
      </c>
      <c r="W36" s="65">
        <f t="shared" si="6"/>
        <v>0</v>
      </c>
      <c r="X36" s="65">
        <f t="shared" si="6"/>
        <v>2767.75</v>
      </c>
    </row>
    <row r="37" spans="1:24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52"/>
      <c r="P37" s="152"/>
      <c r="Q37" s="154"/>
      <c r="R37" s="154"/>
      <c r="S37" s="154"/>
      <c r="T37" s="154"/>
      <c r="U37" s="154"/>
      <c r="V37" s="154"/>
      <c r="W37" s="154"/>
      <c r="X37" s="154"/>
    </row>
    <row r="38" spans="1:24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  <c r="W38" s="157"/>
      <c r="X38" s="157"/>
    </row>
    <row r="39" spans="1:24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157"/>
    </row>
    <row r="40" spans="1:24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</row>
    <row r="41" spans="1:24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</row>
    <row r="42" spans="1:24" x14ac:dyDescent="0.35">
      <c r="A42" s="225" t="s">
        <v>167</v>
      </c>
      <c r="B42" s="225"/>
      <c r="C42" s="225">
        <f>IFERROR(C39-C38,"")</f>
        <v>0</v>
      </c>
      <c r="D42" s="225">
        <f t="shared" ref="D42:X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0</v>
      </c>
      <c r="P42" s="225">
        <f t="shared" si="7"/>
        <v>0</v>
      </c>
      <c r="Q42" s="225">
        <f t="shared" si="7"/>
        <v>0</v>
      </c>
      <c r="R42" s="225">
        <f t="shared" si="7"/>
        <v>0</v>
      </c>
      <c r="S42" s="225">
        <f t="shared" si="7"/>
        <v>0</v>
      </c>
      <c r="T42" s="225">
        <f t="shared" si="7"/>
        <v>0</v>
      </c>
      <c r="U42" s="225">
        <f t="shared" si="7"/>
        <v>0</v>
      </c>
      <c r="V42" s="225">
        <f t="shared" si="7"/>
        <v>0</v>
      </c>
      <c r="W42" s="225">
        <f t="shared" si="7"/>
        <v>0</v>
      </c>
      <c r="X42" s="225">
        <f t="shared" si="7"/>
        <v>0</v>
      </c>
    </row>
    <row r="43" spans="1:24" ht="16.399999999999999" customHeight="1" x14ac:dyDescent="0.35">
      <c r="A43" s="65" t="s">
        <v>2</v>
      </c>
      <c r="B43" s="65"/>
      <c r="C43" s="65">
        <f t="shared" ref="C43:W43" si="8">AVERAGE(C35,C42,C28,C21,C14)</f>
        <v>1067.5999999999999</v>
      </c>
      <c r="D43" s="65">
        <f t="shared" si="8"/>
        <v>1718</v>
      </c>
      <c r="E43" s="65">
        <f t="shared" si="8"/>
        <v>0</v>
      </c>
      <c r="F43" s="65">
        <f t="shared" si="8"/>
        <v>1718</v>
      </c>
      <c r="G43" s="65">
        <f t="shared" si="8"/>
        <v>1067.5999999999999</v>
      </c>
      <c r="H43" s="65">
        <f t="shared" si="8"/>
        <v>0</v>
      </c>
      <c r="I43" s="65">
        <f t="shared" si="8"/>
        <v>0</v>
      </c>
      <c r="J43" s="65">
        <f t="shared" si="8"/>
        <v>1718</v>
      </c>
      <c r="K43" s="65">
        <f t="shared" si="8"/>
        <v>0</v>
      </c>
      <c r="L43" s="65">
        <f t="shared" si="8"/>
        <v>2214.1999999999998</v>
      </c>
      <c r="M43" s="65">
        <f t="shared" si="8"/>
        <v>1067.5999999999999</v>
      </c>
      <c r="N43" s="65">
        <f t="shared" si="8"/>
        <v>2214.1999999999998</v>
      </c>
      <c r="O43" s="65">
        <f t="shared" si="8"/>
        <v>1718</v>
      </c>
      <c r="P43" s="65">
        <f t="shared" si="8"/>
        <v>1718</v>
      </c>
      <c r="Q43" s="65">
        <f t="shared" si="8"/>
        <v>0</v>
      </c>
      <c r="R43" s="65">
        <f t="shared" si="8"/>
        <v>2214.1999999999998</v>
      </c>
      <c r="S43" s="65">
        <f t="shared" si="8"/>
        <v>2214.1999999999998</v>
      </c>
      <c r="T43" s="65">
        <f t="shared" si="8"/>
        <v>4428.2</v>
      </c>
      <c r="U43" s="65">
        <f t="shared" si="8"/>
        <v>0</v>
      </c>
      <c r="V43" s="65">
        <f t="shared" si="8"/>
        <v>1067.5999999999999</v>
      </c>
      <c r="W43" s="65">
        <f t="shared" si="8"/>
        <v>0</v>
      </c>
      <c r="X43" s="65">
        <f>AVERAGE(X35,X42,X28,X21,X14)</f>
        <v>2214.1999999999998</v>
      </c>
    </row>
    <row r="44" spans="1:24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/>
      <c r="P44" s="152"/>
      <c r="Q44" s="154"/>
      <c r="R44" s="154"/>
      <c r="S44" s="154"/>
      <c r="T44" s="154"/>
      <c r="U44" s="154"/>
      <c r="V44" s="154"/>
      <c r="W44" s="154"/>
      <c r="X44" s="154"/>
    </row>
    <row r="45" spans="1:24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  <c r="X45" s="157"/>
    </row>
    <row r="46" spans="1:24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</row>
    <row r="47" spans="1:24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</row>
    <row r="48" spans="1:24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</row>
    <row r="49" spans="1:24" x14ac:dyDescent="0.35">
      <c r="A49" s="225" t="s">
        <v>167</v>
      </c>
      <c r="B49" s="225"/>
      <c r="C49" s="225">
        <f>IFERROR(C46-C45,"")</f>
        <v>0</v>
      </c>
      <c r="D49" s="225">
        <f t="shared" ref="D49:X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  <c r="V49" s="225">
        <f t="shared" si="9"/>
        <v>0</v>
      </c>
      <c r="W49" s="225">
        <f t="shared" si="9"/>
        <v>0</v>
      </c>
      <c r="X49" s="225">
        <f t="shared" si="9"/>
        <v>0</v>
      </c>
    </row>
    <row r="50" spans="1:24" ht="16.399999999999999" customHeight="1" x14ac:dyDescent="0.35">
      <c r="A50" s="65" t="s">
        <v>2</v>
      </c>
      <c r="B50" s="65"/>
      <c r="C50" s="65">
        <f>AVERAGE(C42,C49,C35,C28,C21,C14)</f>
        <v>889.66666666666663</v>
      </c>
      <c r="D50" s="65">
        <f t="shared" ref="D50:X50" si="10">AVERAGE(D42,D49,D35,D28,D21,D14)</f>
        <v>1431.6666666666667</v>
      </c>
      <c r="E50" s="65">
        <f t="shared" si="10"/>
        <v>0</v>
      </c>
      <c r="F50" s="65">
        <f t="shared" si="10"/>
        <v>1431.6666666666667</v>
      </c>
      <c r="G50" s="65">
        <f t="shared" si="10"/>
        <v>889.66666666666663</v>
      </c>
      <c r="H50" s="65">
        <f t="shared" si="10"/>
        <v>0</v>
      </c>
      <c r="I50" s="65">
        <f t="shared" si="10"/>
        <v>0</v>
      </c>
      <c r="J50" s="65">
        <f t="shared" si="10"/>
        <v>1431.6666666666667</v>
      </c>
      <c r="K50" s="65">
        <f t="shared" si="10"/>
        <v>0</v>
      </c>
      <c r="L50" s="65">
        <f t="shared" si="10"/>
        <v>1845.1666666666667</v>
      </c>
      <c r="M50" s="65">
        <f t="shared" si="10"/>
        <v>889.66666666666663</v>
      </c>
      <c r="N50" s="65">
        <f t="shared" si="10"/>
        <v>1845.1666666666667</v>
      </c>
      <c r="O50" s="65">
        <f t="shared" si="10"/>
        <v>1431.6666666666667</v>
      </c>
      <c r="P50" s="65">
        <f t="shared" si="10"/>
        <v>1431.6666666666667</v>
      </c>
      <c r="Q50" s="65">
        <f t="shared" si="10"/>
        <v>0</v>
      </c>
      <c r="R50" s="65">
        <f t="shared" si="10"/>
        <v>1845.1666666666667</v>
      </c>
      <c r="S50" s="65">
        <f t="shared" si="10"/>
        <v>1845.1666666666667</v>
      </c>
      <c r="T50" s="65">
        <f t="shared" si="10"/>
        <v>3690.1666666666665</v>
      </c>
      <c r="U50" s="65">
        <f t="shared" si="10"/>
        <v>0</v>
      </c>
      <c r="V50" s="65">
        <f t="shared" si="10"/>
        <v>889.66666666666663</v>
      </c>
      <c r="W50" s="65">
        <f t="shared" si="10"/>
        <v>0</v>
      </c>
      <c r="X50" s="65">
        <f t="shared" si="10"/>
        <v>1845.1666666666667</v>
      </c>
    </row>
    <row r="51" spans="1:24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/>
      <c r="P51" s="152"/>
      <c r="Q51" s="154"/>
      <c r="R51" s="154"/>
      <c r="S51" s="154"/>
      <c r="T51" s="154"/>
      <c r="U51" s="154"/>
      <c r="V51" s="154"/>
      <c r="W51" s="154"/>
      <c r="X51" s="154"/>
    </row>
    <row r="52" spans="1:24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</row>
    <row r="53" spans="1:24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</row>
    <row r="54" spans="1:24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</row>
    <row r="55" spans="1:24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</row>
    <row r="56" spans="1:24" x14ac:dyDescent="0.35">
      <c r="A56" s="225" t="s">
        <v>167</v>
      </c>
      <c r="B56" s="225"/>
      <c r="C56" s="225">
        <f>IFERROR(C53-C52,"")</f>
        <v>0</v>
      </c>
      <c r="D56" s="225">
        <f t="shared" ref="D56:X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0</v>
      </c>
      <c r="P56" s="225">
        <f t="shared" si="11"/>
        <v>0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  <c r="V56" s="225">
        <f t="shared" si="11"/>
        <v>0</v>
      </c>
      <c r="W56" s="225">
        <f t="shared" si="11"/>
        <v>0</v>
      </c>
      <c r="X56" s="225">
        <f t="shared" si="11"/>
        <v>0</v>
      </c>
    </row>
    <row r="57" spans="1:24" ht="16.399999999999999" customHeight="1" x14ac:dyDescent="0.35">
      <c r="A57" s="65" t="s">
        <v>2</v>
      </c>
      <c r="B57" s="65"/>
      <c r="C57" s="65">
        <f>AVERAGE(C49,C56,C42,C35,C28,C21,C14)</f>
        <v>762.57142857142856</v>
      </c>
      <c r="D57" s="65">
        <f t="shared" ref="D57:X57" si="12">AVERAGE(D49,D56,D42,D35,D28,D21,D14)</f>
        <v>1227.1428571428571</v>
      </c>
      <c r="E57" s="65">
        <f t="shared" si="12"/>
        <v>0</v>
      </c>
      <c r="F57" s="65">
        <f t="shared" si="12"/>
        <v>1227.1428571428571</v>
      </c>
      <c r="G57" s="65">
        <f t="shared" si="12"/>
        <v>762.57142857142856</v>
      </c>
      <c r="H57" s="65">
        <f t="shared" si="12"/>
        <v>0</v>
      </c>
      <c r="I57" s="65">
        <f t="shared" si="12"/>
        <v>0</v>
      </c>
      <c r="J57" s="65">
        <f t="shared" si="12"/>
        <v>1227.1428571428571</v>
      </c>
      <c r="K57" s="65">
        <f t="shared" si="12"/>
        <v>0</v>
      </c>
      <c r="L57" s="65">
        <f t="shared" si="12"/>
        <v>1581.5714285714287</v>
      </c>
      <c r="M57" s="65">
        <f t="shared" si="12"/>
        <v>762.57142857142856</v>
      </c>
      <c r="N57" s="65">
        <f t="shared" si="12"/>
        <v>1581.5714285714287</v>
      </c>
      <c r="O57" s="65">
        <f t="shared" si="12"/>
        <v>1227.1428571428571</v>
      </c>
      <c r="P57" s="65">
        <f t="shared" si="12"/>
        <v>1227.1428571428571</v>
      </c>
      <c r="Q57" s="65">
        <f t="shared" si="12"/>
        <v>0</v>
      </c>
      <c r="R57" s="65">
        <f t="shared" si="12"/>
        <v>1581.5714285714287</v>
      </c>
      <c r="S57" s="65">
        <f t="shared" si="12"/>
        <v>1581.5714285714287</v>
      </c>
      <c r="T57" s="65">
        <f t="shared" si="12"/>
        <v>3163</v>
      </c>
      <c r="U57" s="65">
        <f t="shared" si="12"/>
        <v>0</v>
      </c>
      <c r="V57" s="65">
        <f t="shared" si="12"/>
        <v>762.57142857142856</v>
      </c>
      <c r="W57" s="65">
        <f t="shared" si="12"/>
        <v>0</v>
      </c>
      <c r="X57" s="65">
        <f t="shared" si="12"/>
        <v>1581.5714285714287</v>
      </c>
    </row>
    <row r="58" spans="1:24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/>
      <c r="P58" s="152"/>
      <c r="Q58" s="154"/>
      <c r="R58" s="154"/>
      <c r="S58" s="154"/>
      <c r="T58" s="154"/>
      <c r="U58" s="154"/>
      <c r="V58" s="154"/>
      <c r="W58" s="154"/>
      <c r="X58" s="154"/>
    </row>
    <row r="59" spans="1:24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</row>
    <row r="60" spans="1:24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</row>
    <row r="61" spans="1:24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157"/>
    </row>
    <row r="62" spans="1:24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157"/>
    </row>
    <row r="63" spans="1:24" x14ac:dyDescent="0.35">
      <c r="A63" s="225" t="s">
        <v>167</v>
      </c>
      <c r="B63" s="225"/>
      <c r="C63" s="225">
        <f>IFERROR(C60-C59,"")</f>
        <v>0</v>
      </c>
      <c r="D63" s="225">
        <f t="shared" ref="D63:X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  <c r="V63" s="225">
        <f t="shared" si="13"/>
        <v>0</v>
      </c>
      <c r="W63" s="225">
        <f t="shared" si="13"/>
        <v>0</v>
      </c>
      <c r="X63" s="225">
        <f t="shared" si="13"/>
        <v>0</v>
      </c>
    </row>
    <row r="64" spans="1:24" ht="16.399999999999999" customHeight="1" x14ac:dyDescent="0.35">
      <c r="A64" s="65" t="s">
        <v>2</v>
      </c>
      <c r="B64" s="65"/>
      <c r="C64" s="65">
        <f>AVERAGE(C56,C63,C49,C42,C35,C28,C21,C14)</f>
        <v>667.25</v>
      </c>
      <c r="D64" s="65">
        <f t="shared" ref="D64:X64" si="14">AVERAGE(D56,D63,D49,D42,D35,D28,D21,D14)</f>
        <v>1073.75</v>
      </c>
      <c r="E64" s="65">
        <f t="shared" si="14"/>
        <v>0</v>
      </c>
      <c r="F64" s="65">
        <f t="shared" si="14"/>
        <v>1073.75</v>
      </c>
      <c r="G64" s="65">
        <f t="shared" si="14"/>
        <v>667.25</v>
      </c>
      <c r="H64" s="65">
        <f t="shared" si="14"/>
        <v>0</v>
      </c>
      <c r="I64" s="65">
        <f t="shared" si="14"/>
        <v>0</v>
      </c>
      <c r="J64" s="65">
        <f t="shared" si="14"/>
        <v>1073.75</v>
      </c>
      <c r="K64" s="65">
        <f t="shared" si="14"/>
        <v>0</v>
      </c>
      <c r="L64" s="65">
        <f t="shared" si="14"/>
        <v>1383.875</v>
      </c>
      <c r="M64" s="65">
        <f t="shared" si="14"/>
        <v>667.25</v>
      </c>
      <c r="N64" s="65">
        <f t="shared" si="14"/>
        <v>1383.875</v>
      </c>
      <c r="O64" s="65">
        <f t="shared" si="14"/>
        <v>1073.75</v>
      </c>
      <c r="P64" s="65">
        <f t="shared" si="14"/>
        <v>1073.75</v>
      </c>
      <c r="Q64" s="65">
        <f t="shared" si="14"/>
        <v>0</v>
      </c>
      <c r="R64" s="65">
        <f t="shared" si="14"/>
        <v>1383.875</v>
      </c>
      <c r="S64" s="65">
        <f t="shared" si="14"/>
        <v>1383.875</v>
      </c>
      <c r="T64" s="65">
        <f t="shared" si="14"/>
        <v>2767.625</v>
      </c>
      <c r="U64" s="65">
        <f t="shared" si="14"/>
        <v>0</v>
      </c>
      <c r="V64" s="65">
        <f t="shared" si="14"/>
        <v>667.25</v>
      </c>
      <c r="W64" s="65">
        <f t="shared" si="14"/>
        <v>0</v>
      </c>
      <c r="X64" s="65">
        <f t="shared" si="14"/>
        <v>1383.875</v>
      </c>
    </row>
  </sheetData>
  <sheetProtection algorithmName="SHA-512" hashValue="ss0JIj3d0O7jhSOCafswQHTkU79QanddvPmr+5RmmN2ITJfgBMJag3nj13QIGah2e2/yFLr/C+CrxsHMTqWlJg==" saltValue="ma2k1Js0HtBkpOIpBoR9kA==" spinCount="100000" sheet="1" objects="1" scenarios="1"/>
  <autoFilter ref="A2:X64" xr:uid="{00000000-0009-0000-0000-00001D000000}"/>
  <mergeCells count="2">
    <mergeCell ref="A7:B7"/>
    <mergeCell ref="A8:B8"/>
  </mergeCells>
  <conditionalFormatting sqref="C15 F15:X15">
    <cfRule type="expression" dxfId="323" priority="63">
      <formula>C15&lt;#REF!</formula>
    </cfRule>
    <cfRule type="expression" dxfId="322" priority="64">
      <formula>C15&gt;#REF!</formula>
    </cfRule>
  </conditionalFormatting>
  <conditionalFormatting sqref="D15">
    <cfRule type="expression" dxfId="321" priority="65">
      <formula>D15&lt;#REF!</formula>
    </cfRule>
    <cfRule type="expression" dxfId="320" priority="66">
      <formula>D15&gt;#REF!</formula>
    </cfRule>
  </conditionalFormatting>
  <conditionalFormatting sqref="E15">
    <cfRule type="expression" dxfId="319" priority="67" stopIfTrue="1">
      <formula>E15&lt;#REF!</formula>
    </cfRule>
    <cfRule type="expression" dxfId="318" priority="68" stopIfTrue="1">
      <formula>E15&gt;#REF!</formula>
    </cfRule>
  </conditionalFormatting>
  <conditionalFormatting sqref="C22:X22">
    <cfRule type="expression" dxfId="317" priority="57">
      <formula>C22&lt;#REF!</formula>
    </cfRule>
    <cfRule type="expression" dxfId="316" priority="58">
      <formula>C22&gt;#REF!</formula>
    </cfRule>
  </conditionalFormatting>
  <conditionalFormatting sqref="D22">
    <cfRule type="expression" dxfId="315" priority="59">
      <formula>D22&lt;#REF!</formula>
    </cfRule>
    <cfRule type="expression" dxfId="314" priority="60">
      <formula>D22&gt;#REF!</formula>
    </cfRule>
  </conditionalFormatting>
  <conditionalFormatting sqref="E22">
    <cfRule type="expression" dxfId="313" priority="61" stopIfTrue="1">
      <formula>E22&lt;#REF!</formula>
    </cfRule>
    <cfRule type="expression" dxfId="312" priority="62" stopIfTrue="1">
      <formula>E22&gt;#REF!</formula>
    </cfRule>
  </conditionalFormatting>
  <conditionalFormatting sqref="F29:X29">
    <cfRule type="expression" dxfId="311" priority="51">
      <formula>F29&lt;#REF!</formula>
    </cfRule>
    <cfRule type="expression" dxfId="310" priority="52">
      <formula>F29&gt;#REF!</formula>
    </cfRule>
  </conditionalFormatting>
  <conditionalFormatting sqref="D29">
    <cfRule type="expression" dxfId="309" priority="53">
      <formula>D29&lt;#REF!</formula>
    </cfRule>
    <cfRule type="expression" dxfId="308" priority="54">
      <formula>D29&gt;#REF!</formula>
    </cfRule>
  </conditionalFormatting>
  <conditionalFormatting sqref="E29">
    <cfRule type="expression" dxfId="307" priority="55" stopIfTrue="1">
      <formula>E29&lt;#REF!</formula>
    </cfRule>
    <cfRule type="expression" dxfId="306" priority="56" stopIfTrue="1">
      <formula>E29&gt;#REF!</formula>
    </cfRule>
  </conditionalFormatting>
  <conditionalFormatting sqref="F36:X36">
    <cfRule type="expression" dxfId="305" priority="45">
      <formula>F36&lt;#REF!</formula>
    </cfRule>
    <cfRule type="expression" dxfId="304" priority="46">
      <formula>F36&gt;#REF!</formula>
    </cfRule>
  </conditionalFormatting>
  <conditionalFormatting sqref="D36">
    <cfRule type="expression" dxfId="303" priority="47">
      <formula>D36&lt;#REF!</formula>
    </cfRule>
    <cfRule type="expression" dxfId="302" priority="48">
      <formula>D36&gt;#REF!</formula>
    </cfRule>
  </conditionalFormatting>
  <conditionalFormatting sqref="E36">
    <cfRule type="expression" dxfId="301" priority="49" stopIfTrue="1">
      <formula>E36&lt;#REF!</formula>
    </cfRule>
    <cfRule type="expression" dxfId="300" priority="50" stopIfTrue="1">
      <formula>E36&gt;#REF!</formula>
    </cfRule>
  </conditionalFormatting>
  <conditionalFormatting sqref="F43:W43">
    <cfRule type="expression" dxfId="299" priority="39">
      <formula>F43&lt;#REF!</formula>
    </cfRule>
    <cfRule type="expression" dxfId="298" priority="40">
      <formula>F43&gt;#REF!</formula>
    </cfRule>
  </conditionalFormatting>
  <conditionalFormatting sqref="D43">
    <cfRule type="expression" dxfId="297" priority="41">
      <formula>D43&lt;#REF!</formula>
    </cfRule>
    <cfRule type="expression" dxfId="296" priority="42">
      <formula>D43&gt;#REF!</formula>
    </cfRule>
  </conditionalFormatting>
  <conditionalFormatting sqref="E43">
    <cfRule type="expression" dxfId="295" priority="43" stopIfTrue="1">
      <formula>E43&lt;#REF!</formula>
    </cfRule>
    <cfRule type="expression" dxfId="294" priority="44" stopIfTrue="1">
      <formula>E43&gt;#REF!</formula>
    </cfRule>
  </conditionalFormatting>
  <conditionalFormatting sqref="F50:X50">
    <cfRule type="expression" dxfId="293" priority="33">
      <formula>F50&lt;#REF!</formula>
    </cfRule>
    <cfRule type="expression" dxfId="292" priority="34">
      <formula>F50&gt;#REF!</formula>
    </cfRule>
  </conditionalFormatting>
  <conditionalFormatting sqref="D50">
    <cfRule type="expression" dxfId="291" priority="35">
      <formula>D50&lt;#REF!</formula>
    </cfRule>
    <cfRule type="expression" dxfId="290" priority="36">
      <formula>D50&gt;#REF!</formula>
    </cfRule>
  </conditionalFormatting>
  <conditionalFormatting sqref="E50">
    <cfRule type="expression" dxfId="289" priority="37" stopIfTrue="1">
      <formula>E50&lt;#REF!</formula>
    </cfRule>
    <cfRule type="expression" dxfId="288" priority="38" stopIfTrue="1">
      <formula>E50&gt;#REF!</formula>
    </cfRule>
  </conditionalFormatting>
  <conditionalFormatting sqref="F57:X57">
    <cfRule type="expression" dxfId="287" priority="27">
      <formula>F57&lt;#REF!</formula>
    </cfRule>
    <cfRule type="expression" dxfId="286" priority="28">
      <formula>F57&gt;#REF!</formula>
    </cfRule>
  </conditionalFormatting>
  <conditionalFormatting sqref="D57">
    <cfRule type="expression" dxfId="285" priority="29">
      <formula>D57&lt;#REF!</formula>
    </cfRule>
    <cfRule type="expression" dxfId="284" priority="30">
      <formula>D57&gt;#REF!</formula>
    </cfRule>
  </conditionalFormatting>
  <conditionalFormatting sqref="E57">
    <cfRule type="expression" dxfId="283" priority="31" stopIfTrue="1">
      <formula>E57&lt;#REF!</formula>
    </cfRule>
    <cfRule type="expression" dxfId="282" priority="32" stopIfTrue="1">
      <formula>E57&gt;#REF!</formula>
    </cfRule>
  </conditionalFormatting>
  <conditionalFormatting sqref="F64:X64">
    <cfRule type="expression" dxfId="281" priority="21">
      <formula>F64&lt;#REF!</formula>
    </cfRule>
    <cfRule type="expression" dxfId="280" priority="22">
      <formula>F64&gt;#REF!</formula>
    </cfRule>
  </conditionalFormatting>
  <conditionalFormatting sqref="D64">
    <cfRule type="expression" dxfId="279" priority="23">
      <formula>D64&lt;#REF!</formula>
    </cfRule>
    <cfRule type="expression" dxfId="278" priority="24">
      <formula>D64&gt;#REF!</formula>
    </cfRule>
  </conditionalFormatting>
  <conditionalFormatting sqref="E64">
    <cfRule type="expression" dxfId="277" priority="25" stopIfTrue="1">
      <formula>E64&lt;#REF!</formula>
    </cfRule>
    <cfRule type="expression" dxfId="276" priority="26" stopIfTrue="1">
      <formula>E64&gt;#REF!</formula>
    </cfRule>
  </conditionalFormatting>
  <conditionalFormatting sqref="C64:X64">
    <cfRule type="expression" dxfId="275" priority="1">
      <formula>C64&lt;#REF!</formula>
    </cfRule>
    <cfRule type="expression" dxfId="274" priority="2">
      <formula>C64&gt;#REF!</formula>
    </cfRule>
  </conditionalFormatting>
  <conditionalFormatting sqref="C29:X29">
    <cfRule type="expression" dxfId="273" priority="19">
      <formula>C29&lt;#REF!</formula>
    </cfRule>
    <cfRule type="expression" dxfId="272" priority="20">
      <formula>C29&gt;#REF!</formula>
    </cfRule>
  </conditionalFormatting>
  <conditionalFormatting sqref="C36:X36">
    <cfRule type="expression" dxfId="271" priority="17">
      <formula>C36&lt;#REF!</formula>
    </cfRule>
    <cfRule type="expression" dxfId="270" priority="18">
      <formula>C36&gt;#REF!</formula>
    </cfRule>
  </conditionalFormatting>
  <conditionalFormatting sqref="C43">
    <cfRule type="expression" dxfId="269" priority="15">
      <formula>C43&lt;#REF!</formula>
    </cfRule>
    <cfRule type="expression" dxfId="268" priority="16">
      <formula>C43&gt;#REF!</formula>
    </cfRule>
  </conditionalFormatting>
  <conditionalFormatting sqref="C43:X43">
    <cfRule type="expression" dxfId="267" priority="13">
      <formula>C43&lt;#REF!</formula>
    </cfRule>
    <cfRule type="expression" dxfId="266" priority="14">
      <formula>C43&gt;#REF!</formula>
    </cfRule>
  </conditionalFormatting>
  <conditionalFormatting sqref="C50:X50">
    <cfRule type="expression" dxfId="265" priority="11">
      <formula>C50&lt;#REF!</formula>
    </cfRule>
    <cfRule type="expression" dxfId="264" priority="12">
      <formula>C50&gt;#REF!</formula>
    </cfRule>
  </conditionalFormatting>
  <conditionalFormatting sqref="C50:X50">
    <cfRule type="expression" dxfId="263" priority="9">
      <formula>C50&lt;#REF!</formula>
    </cfRule>
    <cfRule type="expression" dxfId="262" priority="10">
      <formula>C50&gt;#REF!</formula>
    </cfRule>
  </conditionalFormatting>
  <conditionalFormatting sqref="C57:X57">
    <cfRule type="expression" dxfId="261" priority="7">
      <formula>C57&lt;#REF!</formula>
    </cfRule>
    <cfRule type="expression" dxfId="260" priority="8">
      <formula>C57&gt;#REF!</formula>
    </cfRule>
  </conditionalFormatting>
  <conditionalFormatting sqref="C57:X57">
    <cfRule type="expression" dxfId="259" priority="5">
      <formula>C57&lt;#REF!</formula>
    </cfRule>
    <cfRule type="expression" dxfId="258" priority="6">
      <formula>C57&gt;#REF!</formula>
    </cfRule>
  </conditionalFormatting>
  <conditionalFormatting sqref="C64:X64">
    <cfRule type="expression" dxfId="257" priority="3">
      <formula>C64&lt;#REF!</formula>
    </cfRule>
    <cfRule type="expression" dxfId="256" priority="4">
      <formula>C64&gt;#REF!</formula>
    </cfRule>
  </conditionalFormatting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/>
  <dimension ref="A1:W64"/>
  <sheetViews>
    <sheetView zoomScale="75" workbookViewId="0">
      <selection activeCell="E19" sqref="E19"/>
    </sheetView>
  </sheetViews>
  <sheetFormatPr defaultColWidth="8.81640625" defaultRowHeight="14.5" x14ac:dyDescent="0.35"/>
  <cols>
    <col min="1" max="1" width="16.1796875" customWidth="1"/>
    <col min="2" max="2" width="5.1796875" customWidth="1"/>
    <col min="3" max="3" width="17.1796875" customWidth="1"/>
    <col min="4" max="4" width="18.1796875" customWidth="1"/>
    <col min="5" max="5" width="22.81640625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0" width="18.54296875" customWidth="1"/>
    <col min="11" max="11" width="18.81640625" customWidth="1"/>
    <col min="12" max="12" width="17.1796875" bestFit="1" customWidth="1"/>
    <col min="13" max="13" width="19.453125" customWidth="1"/>
    <col min="14" max="14" width="16.81640625" customWidth="1"/>
    <col min="15" max="15" width="18.54296875" customWidth="1"/>
    <col min="16" max="16" width="17.1796875" bestFit="1" customWidth="1"/>
    <col min="17" max="17" width="18.81640625" customWidth="1"/>
    <col min="18" max="18" width="21.81640625" customWidth="1"/>
    <col min="19" max="19" width="17.1796875" bestFit="1" customWidth="1"/>
    <col min="20" max="20" width="25" customWidth="1"/>
    <col min="21" max="22" width="17.1796875" bestFit="1" customWidth="1"/>
    <col min="23" max="23" width="18" customWidth="1"/>
  </cols>
  <sheetData>
    <row r="1" spans="1:23" ht="15" thickBot="1" x14ac:dyDescent="0.4"/>
    <row r="2" spans="1:23" x14ac:dyDescent="0.35">
      <c r="E2" s="130" t="s">
        <v>533</v>
      </c>
      <c r="F2" s="131"/>
      <c r="G2" s="131" t="s">
        <v>104</v>
      </c>
      <c r="H2" s="131"/>
      <c r="I2" s="132"/>
    </row>
    <row r="3" spans="1:23" x14ac:dyDescent="0.35">
      <c r="E3" s="133"/>
      <c r="F3" s="134" t="s">
        <v>504</v>
      </c>
      <c r="G3" s="135"/>
      <c r="H3" s="134"/>
      <c r="I3" s="136"/>
    </row>
    <row r="4" spans="1:23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23" ht="30.65" customHeight="1" x14ac:dyDescent="0.35">
      <c r="A5" s="141" t="s">
        <v>537</v>
      </c>
      <c r="B5" s="170" t="s">
        <v>538</v>
      </c>
    </row>
    <row r="6" spans="1:23" ht="28.4" customHeight="1" x14ac:dyDescent="0.35">
      <c r="A6" s="142" t="s">
        <v>200</v>
      </c>
      <c r="B6" s="169"/>
      <c r="C6" s="142" t="s">
        <v>507</v>
      </c>
      <c r="D6" s="142" t="s">
        <v>539</v>
      </c>
      <c r="E6" s="142" t="s">
        <v>509</v>
      </c>
      <c r="F6" s="142" t="s">
        <v>510</v>
      </c>
      <c r="G6" s="143" t="s">
        <v>511</v>
      </c>
      <c r="H6" s="143" t="s">
        <v>512</v>
      </c>
      <c r="I6" s="143" t="s">
        <v>513</v>
      </c>
      <c r="J6" s="142" t="s">
        <v>514</v>
      </c>
      <c r="K6" s="142" t="s">
        <v>515</v>
      </c>
      <c r="L6" s="142" t="s">
        <v>516</v>
      </c>
      <c r="M6" s="142" t="s">
        <v>517</v>
      </c>
      <c r="N6" s="142" t="s">
        <v>518</v>
      </c>
      <c r="O6" s="142" t="s">
        <v>520</v>
      </c>
      <c r="P6" s="144" t="s">
        <v>521</v>
      </c>
      <c r="Q6" s="144" t="s">
        <v>522</v>
      </c>
      <c r="R6" s="142" t="s">
        <v>523</v>
      </c>
      <c r="S6" s="142" t="s">
        <v>524</v>
      </c>
      <c r="T6" s="142" t="s">
        <v>525</v>
      </c>
      <c r="U6" s="142" t="s">
        <v>526</v>
      </c>
      <c r="V6" s="142" t="s">
        <v>527</v>
      </c>
      <c r="W6" s="142" t="s">
        <v>528</v>
      </c>
    </row>
    <row r="7" spans="1:23" x14ac:dyDescent="0.35">
      <c r="A7" s="252" t="s">
        <v>137</v>
      </c>
      <c r="B7" s="252"/>
      <c r="C7" s="145" t="s">
        <v>286</v>
      </c>
      <c r="D7" s="145" t="s">
        <v>529</v>
      </c>
      <c r="E7" s="145" t="s">
        <v>141</v>
      </c>
      <c r="F7" s="145" t="s">
        <v>287</v>
      </c>
      <c r="G7" s="145" t="s">
        <v>215</v>
      </c>
      <c r="H7" s="145" t="s">
        <v>142</v>
      </c>
      <c r="I7" s="145" t="s">
        <v>143</v>
      </c>
      <c r="J7" s="145" t="s">
        <v>320</v>
      </c>
      <c r="K7" s="145" t="s">
        <v>288</v>
      </c>
      <c r="L7" s="145" t="s">
        <v>144</v>
      </c>
      <c r="M7" s="145" t="s">
        <v>145</v>
      </c>
      <c r="N7" s="145" t="s">
        <v>146</v>
      </c>
      <c r="O7" s="145" t="s">
        <v>147</v>
      </c>
      <c r="P7" s="145" t="s">
        <v>148</v>
      </c>
      <c r="Q7" s="145" t="s">
        <v>149</v>
      </c>
      <c r="R7" s="145" t="s">
        <v>150</v>
      </c>
      <c r="S7" s="145" t="s">
        <v>151</v>
      </c>
      <c r="T7" s="145" t="s">
        <v>153</v>
      </c>
      <c r="U7" s="145" t="s">
        <v>154</v>
      </c>
      <c r="V7" s="145" t="s">
        <v>155</v>
      </c>
      <c r="W7" s="145" t="s">
        <v>286</v>
      </c>
    </row>
    <row r="8" spans="1:23" x14ac:dyDescent="0.35">
      <c r="A8" s="253" t="s">
        <v>158</v>
      </c>
      <c r="B8" s="253"/>
      <c r="C8" s="147">
        <v>1</v>
      </c>
      <c r="D8" s="148">
        <v>1</v>
      </c>
      <c r="E8" s="147">
        <v>2</v>
      </c>
      <c r="F8" s="147">
        <v>1</v>
      </c>
      <c r="G8" s="147">
        <v>2</v>
      </c>
      <c r="H8" s="147">
        <v>1</v>
      </c>
      <c r="I8" s="147">
        <v>1</v>
      </c>
      <c r="J8" s="147">
        <v>1</v>
      </c>
      <c r="K8" s="147">
        <v>1</v>
      </c>
      <c r="L8" s="147">
        <v>1</v>
      </c>
      <c r="M8" s="147">
        <v>2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1</v>
      </c>
      <c r="U8" s="147">
        <v>1</v>
      </c>
      <c r="V8" s="147">
        <v>4</v>
      </c>
      <c r="W8" s="147">
        <v>1</v>
      </c>
    </row>
    <row r="9" spans="1:23" x14ac:dyDescent="0.35">
      <c r="A9" s="150" t="s">
        <v>159</v>
      </c>
      <c r="B9" s="151"/>
      <c r="C9" s="152"/>
      <c r="D9" s="152"/>
      <c r="E9" s="152"/>
      <c r="F9" s="173" t="s">
        <v>225</v>
      </c>
      <c r="G9" s="173" t="s">
        <v>225</v>
      </c>
      <c r="H9" s="152"/>
      <c r="I9" s="152"/>
      <c r="J9" s="152"/>
      <c r="K9" s="173" t="s">
        <v>225</v>
      </c>
      <c r="L9" s="152"/>
      <c r="M9" s="173" t="s">
        <v>225</v>
      </c>
      <c r="N9" s="152"/>
      <c r="O9" s="173" t="s">
        <v>225</v>
      </c>
      <c r="P9" s="152"/>
      <c r="Q9" s="154"/>
      <c r="R9" s="173" t="s">
        <v>225</v>
      </c>
      <c r="S9" s="173" t="s">
        <v>225</v>
      </c>
      <c r="T9" s="173" t="s">
        <v>225</v>
      </c>
      <c r="U9" s="152"/>
      <c r="V9" s="152"/>
      <c r="W9" s="173" t="s">
        <v>225</v>
      </c>
    </row>
    <row r="10" spans="1:23" x14ac:dyDescent="0.35">
      <c r="A10" s="155" t="s">
        <v>161</v>
      </c>
      <c r="B10" s="156" t="s">
        <v>162</v>
      </c>
      <c r="C10" s="157"/>
      <c r="D10" s="157"/>
      <c r="E10" s="157"/>
      <c r="F10" s="172">
        <v>0</v>
      </c>
      <c r="G10" s="172">
        <v>0</v>
      </c>
      <c r="H10" s="157"/>
      <c r="I10" s="157"/>
      <c r="J10" s="157"/>
      <c r="K10" s="172">
        <v>0</v>
      </c>
      <c r="L10" s="157"/>
      <c r="M10" s="172">
        <v>0</v>
      </c>
      <c r="N10" s="157"/>
      <c r="O10" s="172">
        <v>0</v>
      </c>
      <c r="P10" s="157"/>
      <c r="Q10" s="157"/>
      <c r="R10" s="172">
        <v>0</v>
      </c>
      <c r="S10" s="172">
        <v>0</v>
      </c>
      <c r="T10" s="172">
        <v>0</v>
      </c>
      <c r="U10" s="157"/>
      <c r="V10" s="157"/>
      <c r="W10" s="172">
        <v>0</v>
      </c>
    </row>
    <row r="11" spans="1:23" x14ac:dyDescent="0.35">
      <c r="A11" s="155" t="s">
        <v>161</v>
      </c>
      <c r="B11" s="156" t="s">
        <v>163</v>
      </c>
      <c r="C11" s="157">
        <v>20008</v>
      </c>
      <c r="D11" s="157">
        <v>20008</v>
      </c>
      <c r="E11" s="157"/>
      <c r="F11" s="172">
        <v>13064</v>
      </c>
      <c r="G11" s="172">
        <v>13064</v>
      </c>
      <c r="H11" s="157"/>
      <c r="I11" s="157"/>
      <c r="J11" s="157"/>
      <c r="K11" s="172">
        <v>10814</v>
      </c>
      <c r="L11" s="157"/>
      <c r="M11" s="172">
        <v>13064</v>
      </c>
      <c r="N11" s="157"/>
      <c r="O11" s="172">
        <v>10814</v>
      </c>
      <c r="P11" s="157">
        <v>20008</v>
      </c>
      <c r="Q11" s="157">
        <v>20008</v>
      </c>
      <c r="R11" s="172">
        <v>5230</v>
      </c>
      <c r="S11" s="172">
        <v>13064</v>
      </c>
      <c r="T11" s="172">
        <v>13064</v>
      </c>
      <c r="U11" s="157">
        <v>20008</v>
      </c>
      <c r="V11" s="157"/>
      <c r="W11" s="172">
        <v>10814</v>
      </c>
    </row>
    <row r="12" spans="1:23" x14ac:dyDescent="0.35">
      <c r="A12" s="155" t="s">
        <v>164</v>
      </c>
      <c r="B12" s="156"/>
      <c r="C12" s="157" t="s">
        <v>540</v>
      </c>
      <c r="D12" s="157" t="s">
        <v>540</v>
      </c>
      <c r="E12" s="157"/>
      <c r="F12" s="176">
        <v>43691</v>
      </c>
      <c r="G12" s="176">
        <v>43691</v>
      </c>
      <c r="H12" s="157"/>
      <c r="I12" s="157"/>
      <c r="J12" s="166"/>
      <c r="K12" s="176">
        <v>43388</v>
      </c>
      <c r="L12" s="157"/>
      <c r="M12" s="176">
        <v>43691</v>
      </c>
      <c r="N12" s="157"/>
      <c r="O12" s="176">
        <v>43388</v>
      </c>
      <c r="P12" s="157" t="s">
        <v>540</v>
      </c>
      <c r="Q12" s="157" t="s">
        <v>540</v>
      </c>
      <c r="R12" s="178">
        <v>42897</v>
      </c>
      <c r="S12" s="176">
        <v>43691</v>
      </c>
      <c r="T12" s="176">
        <v>43691</v>
      </c>
      <c r="U12" s="157" t="s">
        <v>540</v>
      </c>
      <c r="V12" s="157"/>
      <c r="W12" s="176">
        <v>43388</v>
      </c>
    </row>
    <row r="13" spans="1:23" ht="29" x14ac:dyDescent="0.35">
      <c r="A13" s="160" t="s">
        <v>165</v>
      </c>
      <c r="B13" s="161"/>
      <c r="C13" s="157"/>
      <c r="D13" s="157"/>
      <c r="E13" s="157"/>
      <c r="F13" s="162" t="s">
        <v>166</v>
      </c>
      <c r="G13" s="162" t="s">
        <v>166</v>
      </c>
      <c r="H13" s="157"/>
      <c r="I13" s="157"/>
      <c r="J13" s="157"/>
      <c r="K13" s="162" t="s">
        <v>166</v>
      </c>
      <c r="L13" s="157"/>
      <c r="M13" s="162" t="s">
        <v>166</v>
      </c>
      <c r="N13" s="157"/>
      <c r="O13" s="162" t="s">
        <v>166</v>
      </c>
      <c r="P13" s="157"/>
      <c r="Q13" s="157"/>
      <c r="R13" s="162" t="s">
        <v>166</v>
      </c>
      <c r="S13" s="162" t="s">
        <v>166</v>
      </c>
      <c r="T13" s="162" t="s">
        <v>166</v>
      </c>
      <c r="U13" s="157"/>
      <c r="V13" s="157"/>
      <c r="W13" s="162" t="s">
        <v>166</v>
      </c>
    </row>
    <row r="14" spans="1:23" x14ac:dyDescent="0.35">
      <c r="A14" s="225" t="s">
        <v>167</v>
      </c>
      <c r="B14" s="225"/>
      <c r="C14" s="225">
        <f>IFERROR(C11-C10,"")</f>
        <v>20008</v>
      </c>
      <c r="D14" s="225">
        <f t="shared" ref="D14:W14" si="0">IFERROR(D11-D10,"")</f>
        <v>20008</v>
      </c>
      <c r="E14" s="225">
        <f t="shared" si="0"/>
        <v>0</v>
      </c>
      <c r="F14" s="225">
        <f t="shared" si="0"/>
        <v>13064</v>
      </c>
      <c r="G14" s="225">
        <f t="shared" si="0"/>
        <v>13064</v>
      </c>
      <c r="H14" s="225">
        <f t="shared" si="0"/>
        <v>0</v>
      </c>
      <c r="I14" s="225">
        <f t="shared" si="0"/>
        <v>0</v>
      </c>
      <c r="J14" s="225">
        <f t="shared" si="0"/>
        <v>0</v>
      </c>
      <c r="K14" s="225">
        <f t="shared" si="0"/>
        <v>10814</v>
      </c>
      <c r="L14" s="225">
        <f t="shared" si="0"/>
        <v>0</v>
      </c>
      <c r="M14" s="225">
        <f t="shared" si="0"/>
        <v>13064</v>
      </c>
      <c r="N14" s="225">
        <f t="shared" si="0"/>
        <v>0</v>
      </c>
      <c r="O14" s="225">
        <f t="shared" si="0"/>
        <v>10814</v>
      </c>
      <c r="P14" s="225">
        <f t="shared" si="0"/>
        <v>20008</v>
      </c>
      <c r="Q14" s="225">
        <f t="shared" si="0"/>
        <v>20008</v>
      </c>
      <c r="R14" s="225">
        <f t="shared" si="0"/>
        <v>5230</v>
      </c>
      <c r="S14" s="225">
        <f t="shared" si="0"/>
        <v>13064</v>
      </c>
      <c r="T14" s="225">
        <f t="shared" si="0"/>
        <v>13064</v>
      </c>
      <c r="U14" s="225">
        <f t="shared" si="0"/>
        <v>20008</v>
      </c>
      <c r="V14" s="225">
        <f t="shared" si="0"/>
        <v>0</v>
      </c>
      <c r="W14" s="225">
        <f t="shared" si="0"/>
        <v>10814</v>
      </c>
    </row>
    <row r="15" spans="1:23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</row>
    <row r="16" spans="1:23" x14ac:dyDescent="0.35">
      <c r="A16" s="150" t="s">
        <v>159</v>
      </c>
      <c r="B16" s="151"/>
      <c r="C16" s="163"/>
      <c r="D16" s="154"/>
      <c r="E16" s="154"/>
      <c r="F16" s="154"/>
      <c r="G16" s="154"/>
      <c r="H16" s="154"/>
      <c r="I16" s="154"/>
      <c r="J16" s="152"/>
      <c r="K16" s="154"/>
      <c r="L16" s="154"/>
      <c r="M16" s="152">
        <v>43691</v>
      </c>
      <c r="N16" s="152"/>
      <c r="O16" s="152">
        <v>43388</v>
      </c>
      <c r="P16" s="154"/>
      <c r="Q16" s="154"/>
      <c r="R16" s="178">
        <v>42897</v>
      </c>
      <c r="S16" s="152">
        <v>43691</v>
      </c>
      <c r="T16" s="154"/>
      <c r="U16" s="154"/>
      <c r="V16" s="154"/>
      <c r="W16" s="154"/>
    </row>
    <row r="17" spans="1:23" x14ac:dyDescent="0.35">
      <c r="A17" s="155" t="s">
        <v>161</v>
      </c>
      <c r="B17" s="156" t="s">
        <v>162</v>
      </c>
      <c r="C17" s="165"/>
      <c r="D17" s="157"/>
      <c r="E17" s="157"/>
      <c r="F17" s="157"/>
      <c r="G17" s="157"/>
      <c r="H17" s="157"/>
      <c r="I17" s="157"/>
      <c r="J17" s="157"/>
      <c r="K17" s="157"/>
      <c r="L17" s="157"/>
      <c r="M17" s="157">
        <v>13064</v>
      </c>
      <c r="N17" s="157"/>
      <c r="O17" s="157">
        <v>10814</v>
      </c>
      <c r="P17" s="157"/>
      <c r="Q17" s="157"/>
      <c r="R17" s="172">
        <v>5230</v>
      </c>
      <c r="S17" s="157">
        <v>13064</v>
      </c>
      <c r="T17" s="157"/>
      <c r="U17" s="157"/>
      <c r="V17" s="157"/>
      <c r="W17" s="157"/>
    </row>
    <row r="18" spans="1:23" x14ac:dyDescent="0.35">
      <c r="A18" s="155" t="s">
        <v>161</v>
      </c>
      <c r="B18" s="156" t="s">
        <v>163</v>
      </c>
      <c r="C18" s="165"/>
      <c r="D18" s="157"/>
      <c r="E18" s="157"/>
      <c r="F18" s="157"/>
      <c r="G18" s="157"/>
      <c r="H18" s="157"/>
      <c r="I18" s="157"/>
      <c r="J18" s="157"/>
      <c r="K18" s="157"/>
      <c r="L18" s="157"/>
      <c r="M18" s="157">
        <v>20008</v>
      </c>
      <c r="N18" s="157"/>
      <c r="O18" s="157">
        <v>20008</v>
      </c>
      <c r="P18" s="157"/>
      <c r="Q18" s="157"/>
      <c r="R18" s="172">
        <v>10814</v>
      </c>
      <c r="S18" s="157">
        <v>20008</v>
      </c>
      <c r="T18" s="157"/>
      <c r="U18" s="157"/>
      <c r="V18" s="157"/>
      <c r="W18" s="157"/>
    </row>
    <row r="19" spans="1:23" x14ac:dyDescent="0.35">
      <c r="A19" s="155" t="s">
        <v>164</v>
      </c>
      <c r="B19" s="156"/>
      <c r="C19" s="165"/>
      <c r="D19" s="157"/>
      <c r="E19" s="157"/>
      <c r="F19" s="157"/>
      <c r="G19" s="157"/>
      <c r="H19" s="157"/>
      <c r="I19" s="157"/>
      <c r="J19" s="166"/>
      <c r="K19" s="157"/>
      <c r="L19" s="157"/>
      <c r="M19" s="157" t="s">
        <v>540</v>
      </c>
      <c r="N19" s="157"/>
      <c r="O19" s="157" t="s">
        <v>540</v>
      </c>
      <c r="P19" s="157"/>
      <c r="Q19" s="157"/>
      <c r="R19" s="176">
        <v>43388</v>
      </c>
      <c r="S19" s="157" t="s">
        <v>540</v>
      </c>
      <c r="T19" s="157"/>
      <c r="U19" s="157"/>
      <c r="V19" s="157"/>
      <c r="W19" s="157"/>
    </row>
    <row r="20" spans="1:23" x14ac:dyDescent="0.35">
      <c r="A20" s="160" t="s">
        <v>165</v>
      </c>
      <c r="B20" s="167"/>
      <c r="C20" s="165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62" t="s">
        <v>166</v>
      </c>
      <c r="S20" s="157"/>
      <c r="T20" s="157"/>
      <c r="U20" s="157"/>
      <c r="V20" s="157"/>
      <c r="W20" s="157"/>
    </row>
    <row r="21" spans="1:23" x14ac:dyDescent="0.35">
      <c r="A21" s="225" t="s">
        <v>167</v>
      </c>
      <c r="B21" s="225"/>
      <c r="C21" s="225">
        <f>IFERROR(C18-C17,"")</f>
        <v>0</v>
      </c>
      <c r="D21" s="225">
        <f t="shared" ref="D21:W21" si="1">IFERROR(D18-D17,"")</f>
        <v>0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0</v>
      </c>
      <c r="J21" s="225">
        <f t="shared" si="1"/>
        <v>0</v>
      </c>
      <c r="K21" s="225">
        <f t="shared" si="1"/>
        <v>0</v>
      </c>
      <c r="L21" s="225">
        <f t="shared" si="1"/>
        <v>0</v>
      </c>
      <c r="M21" s="225">
        <f t="shared" si="1"/>
        <v>6944</v>
      </c>
      <c r="N21" s="225">
        <f t="shared" si="1"/>
        <v>0</v>
      </c>
      <c r="O21" s="225">
        <f t="shared" si="1"/>
        <v>9194</v>
      </c>
      <c r="P21" s="225">
        <f t="shared" si="1"/>
        <v>0</v>
      </c>
      <c r="Q21" s="225">
        <f t="shared" si="1"/>
        <v>0</v>
      </c>
      <c r="R21" s="225">
        <f t="shared" si="1"/>
        <v>5584</v>
      </c>
      <c r="S21" s="225">
        <f t="shared" si="1"/>
        <v>6944</v>
      </c>
      <c r="T21" s="225">
        <f t="shared" si="1"/>
        <v>0</v>
      </c>
      <c r="U21" s="225">
        <f t="shared" si="1"/>
        <v>0</v>
      </c>
      <c r="V21" s="225">
        <f t="shared" si="1"/>
        <v>0</v>
      </c>
      <c r="W21" s="225">
        <f t="shared" si="1"/>
        <v>0</v>
      </c>
    </row>
    <row r="22" spans="1:23" ht="16.399999999999999" customHeight="1" x14ac:dyDescent="0.35">
      <c r="A22" s="65" t="s">
        <v>2</v>
      </c>
      <c r="B22" s="65"/>
      <c r="C22" s="65">
        <f>AVERAGE(C14,C21)</f>
        <v>10004</v>
      </c>
      <c r="D22" s="65">
        <f t="shared" ref="D22:W22" si="2">AVERAGE(D14,D21)</f>
        <v>10004</v>
      </c>
      <c r="E22" s="65">
        <f t="shared" si="2"/>
        <v>0</v>
      </c>
      <c r="F22" s="65">
        <f t="shared" si="2"/>
        <v>6532</v>
      </c>
      <c r="G22" s="65">
        <f t="shared" si="2"/>
        <v>6532</v>
      </c>
      <c r="H22" s="65">
        <f t="shared" si="2"/>
        <v>0</v>
      </c>
      <c r="I22" s="65">
        <f t="shared" si="2"/>
        <v>0</v>
      </c>
      <c r="J22" s="65">
        <f t="shared" si="2"/>
        <v>0</v>
      </c>
      <c r="K22" s="65">
        <f t="shared" si="2"/>
        <v>5407</v>
      </c>
      <c r="L22" s="65">
        <f t="shared" si="2"/>
        <v>0</v>
      </c>
      <c r="M22" s="65">
        <f t="shared" si="2"/>
        <v>10004</v>
      </c>
      <c r="N22" s="65">
        <f t="shared" si="2"/>
        <v>0</v>
      </c>
      <c r="O22" s="65">
        <f t="shared" si="2"/>
        <v>10004</v>
      </c>
      <c r="P22" s="65">
        <f t="shared" si="2"/>
        <v>10004</v>
      </c>
      <c r="Q22" s="65">
        <f t="shared" si="2"/>
        <v>10004</v>
      </c>
      <c r="R22" s="65">
        <f t="shared" si="2"/>
        <v>5407</v>
      </c>
      <c r="S22" s="65">
        <f t="shared" si="2"/>
        <v>10004</v>
      </c>
      <c r="T22" s="65">
        <f t="shared" si="2"/>
        <v>6532</v>
      </c>
      <c r="U22" s="65">
        <f t="shared" si="2"/>
        <v>10004</v>
      </c>
      <c r="V22" s="65">
        <f t="shared" si="2"/>
        <v>0</v>
      </c>
      <c r="W22" s="65">
        <f t="shared" si="2"/>
        <v>5407</v>
      </c>
    </row>
    <row r="23" spans="1:23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2"/>
      <c r="O23" s="152"/>
      <c r="P23" s="154"/>
      <c r="Q23" s="168"/>
      <c r="R23" s="176">
        <v>43388</v>
      </c>
      <c r="S23" s="154"/>
      <c r="T23" s="154"/>
      <c r="U23" s="154"/>
      <c r="V23" s="154"/>
      <c r="W23" s="154"/>
    </row>
    <row r="24" spans="1:23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72">
        <v>10814</v>
      </c>
      <c r="S24" s="157"/>
      <c r="T24" s="157"/>
      <c r="U24" s="157"/>
      <c r="V24" s="157"/>
      <c r="W24" s="157"/>
    </row>
    <row r="25" spans="1:23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8"/>
      <c r="S25" s="157"/>
      <c r="T25" s="157"/>
      <c r="U25" s="157"/>
      <c r="V25" s="157"/>
      <c r="W25" s="157"/>
    </row>
    <row r="26" spans="1:23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/>
      <c r="O26" s="157"/>
      <c r="P26" s="157"/>
      <c r="Q26" s="157"/>
      <c r="R26" s="171">
        <v>43586</v>
      </c>
      <c r="S26" s="157"/>
      <c r="T26" s="157"/>
      <c r="U26" s="157"/>
      <c r="V26" s="157"/>
      <c r="W26" s="157"/>
    </row>
    <row r="27" spans="1:23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62" t="s">
        <v>166</v>
      </c>
      <c r="S27" s="157"/>
      <c r="T27" s="157"/>
      <c r="U27" s="157"/>
      <c r="V27" s="157"/>
      <c r="W27" s="157"/>
    </row>
    <row r="28" spans="1:23" x14ac:dyDescent="0.35">
      <c r="A28" s="225" t="s">
        <v>167</v>
      </c>
      <c r="B28" s="225"/>
      <c r="C28" s="225">
        <f>IFERROR(C25-C24,"")</f>
        <v>0</v>
      </c>
      <c r="D28" s="225">
        <f t="shared" ref="D28:W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0</v>
      </c>
      <c r="O28" s="225">
        <f t="shared" si="3"/>
        <v>0</v>
      </c>
      <c r="P28" s="225">
        <f t="shared" si="3"/>
        <v>0</v>
      </c>
      <c r="Q28" s="225">
        <f t="shared" si="3"/>
        <v>0</v>
      </c>
      <c r="R28" s="225">
        <f t="shared" si="3"/>
        <v>-10814</v>
      </c>
      <c r="S28" s="225">
        <f t="shared" si="3"/>
        <v>0</v>
      </c>
      <c r="T28" s="225">
        <f t="shared" si="3"/>
        <v>0</v>
      </c>
      <c r="U28" s="225">
        <f t="shared" si="3"/>
        <v>0</v>
      </c>
      <c r="V28" s="225">
        <f t="shared" si="3"/>
        <v>0</v>
      </c>
      <c r="W28" s="225">
        <f t="shared" si="3"/>
        <v>0</v>
      </c>
    </row>
    <row r="29" spans="1:23" ht="16.399999999999999" customHeight="1" x14ac:dyDescent="0.35">
      <c r="A29" s="65" t="s">
        <v>2</v>
      </c>
      <c r="B29" s="65"/>
      <c r="C29" s="65">
        <f>AVERAGE(C21,C28,C14)</f>
        <v>6669.333333333333</v>
      </c>
      <c r="D29" s="65">
        <f t="shared" ref="D29:W29" si="4">AVERAGE(D21,D28,D14)</f>
        <v>6669.333333333333</v>
      </c>
      <c r="E29" s="65">
        <f t="shared" si="4"/>
        <v>0</v>
      </c>
      <c r="F29" s="65">
        <f t="shared" si="4"/>
        <v>4354.666666666667</v>
      </c>
      <c r="G29" s="65">
        <f t="shared" si="4"/>
        <v>4354.666666666667</v>
      </c>
      <c r="H29" s="65">
        <f t="shared" si="4"/>
        <v>0</v>
      </c>
      <c r="I29" s="65">
        <f t="shared" si="4"/>
        <v>0</v>
      </c>
      <c r="J29" s="65">
        <f t="shared" si="4"/>
        <v>0</v>
      </c>
      <c r="K29" s="65">
        <f t="shared" si="4"/>
        <v>3604.6666666666665</v>
      </c>
      <c r="L29" s="65">
        <f t="shared" si="4"/>
        <v>0</v>
      </c>
      <c r="M29" s="65">
        <f t="shared" si="4"/>
        <v>6669.333333333333</v>
      </c>
      <c r="N29" s="65">
        <f t="shared" si="4"/>
        <v>0</v>
      </c>
      <c r="O29" s="65">
        <f t="shared" si="4"/>
        <v>6669.333333333333</v>
      </c>
      <c r="P29" s="65">
        <f t="shared" si="4"/>
        <v>6669.333333333333</v>
      </c>
      <c r="Q29" s="65">
        <f t="shared" si="4"/>
        <v>6669.333333333333</v>
      </c>
      <c r="R29" s="65">
        <f t="shared" si="4"/>
        <v>0</v>
      </c>
      <c r="S29" s="65">
        <f t="shared" si="4"/>
        <v>6669.333333333333</v>
      </c>
      <c r="T29" s="65">
        <f t="shared" si="4"/>
        <v>4354.666666666667</v>
      </c>
      <c r="U29" s="65">
        <f t="shared" si="4"/>
        <v>6669.333333333333</v>
      </c>
      <c r="V29" s="65">
        <f t="shared" si="4"/>
        <v>0</v>
      </c>
      <c r="W29" s="65">
        <f t="shared" si="4"/>
        <v>3604.6666666666665</v>
      </c>
    </row>
    <row r="30" spans="1:23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/>
      <c r="O30" s="152"/>
      <c r="P30" s="154"/>
      <c r="Q30" s="154"/>
      <c r="R30" s="171">
        <v>43586</v>
      </c>
      <c r="S30" s="154"/>
      <c r="T30" s="154"/>
      <c r="U30" s="154"/>
      <c r="V30" s="154"/>
      <c r="W30" s="154"/>
    </row>
    <row r="31" spans="1:23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8"/>
      <c r="S31" s="157"/>
      <c r="T31" s="157"/>
      <c r="U31" s="157"/>
      <c r="V31" s="157"/>
      <c r="W31" s="157"/>
    </row>
    <row r="32" spans="1:23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72">
        <v>13064</v>
      </c>
      <c r="S32" s="157"/>
      <c r="T32" s="157"/>
      <c r="U32" s="157"/>
      <c r="V32" s="157"/>
      <c r="W32" s="157"/>
    </row>
    <row r="33" spans="1:23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57"/>
      <c r="Q33" s="157"/>
      <c r="R33" s="176">
        <v>43691</v>
      </c>
      <c r="S33" s="157"/>
      <c r="T33" s="157"/>
      <c r="U33" s="157"/>
      <c r="V33" s="157"/>
      <c r="W33" s="157"/>
    </row>
    <row r="34" spans="1:23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62" t="s">
        <v>166</v>
      </c>
      <c r="S34" s="157"/>
      <c r="T34" s="157"/>
      <c r="U34" s="157"/>
      <c r="V34" s="157"/>
      <c r="W34" s="157"/>
    </row>
    <row r="35" spans="1:23" x14ac:dyDescent="0.35">
      <c r="A35" s="225" t="s">
        <v>167</v>
      </c>
      <c r="B35" s="225"/>
      <c r="C35" s="225">
        <f>IFERROR(C32-C31,"")</f>
        <v>0</v>
      </c>
      <c r="D35" s="225">
        <f t="shared" ref="D35:W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0</v>
      </c>
      <c r="P35" s="225">
        <f t="shared" si="5"/>
        <v>0</v>
      </c>
      <c r="Q35" s="225">
        <f t="shared" si="5"/>
        <v>0</v>
      </c>
      <c r="R35" s="225">
        <f t="shared" si="5"/>
        <v>13064</v>
      </c>
      <c r="S35" s="225">
        <f t="shared" si="5"/>
        <v>0</v>
      </c>
      <c r="T35" s="225">
        <f t="shared" si="5"/>
        <v>0</v>
      </c>
      <c r="U35" s="225">
        <f t="shared" si="5"/>
        <v>0</v>
      </c>
      <c r="V35" s="225">
        <f t="shared" si="5"/>
        <v>0</v>
      </c>
      <c r="W35" s="225">
        <f t="shared" si="5"/>
        <v>0</v>
      </c>
    </row>
    <row r="36" spans="1:23" ht="16.399999999999999" customHeight="1" x14ac:dyDescent="0.35">
      <c r="A36" s="65" t="s">
        <v>2</v>
      </c>
      <c r="B36" s="65"/>
      <c r="C36" s="65">
        <f>AVERAGE(C28,C35,C21,C14)</f>
        <v>5002</v>
      </c>
      <c r="D36" s="65">
        <f t="shared" ref="D36:W36" si="6">AVERAGE(D28,D35,D21,D14)</f>
        <v>5002</v>
      </c>
      <c r="E36" s="65">
        <f t="shared" si="6"/>
        <v>0</v>
      </c>
      <c r="F36" s="65">
        <f t="shared" si="6"/>
        <v>3266</v>
      </c>
      <c r="G36" s="65">
        <f t="shared" si="6"/>
        <v>3266</v>
      </c>
      <c r="H36" s="65">
        <f t="shared" si="6"/>
        <v>0</v>
      </c>
      <c r="I36" s="65">
        <f t="shared" si="6"/>
        <v>0</v>
      </c>
      <c r="J36" s="65">
        <f t="shared" si="6"/>
        <v>0</v>
      </c>
      <c r="K36" s="65">
        <f t="shared" si="6"/>
        <v>2703.5</v>
      </c>
      <c r="L36" s="65">
        <f t="shared" si="6"/>
        <v>0</v>
      </c>
      <c r="M36" s="65">
        <f t="shared" si="6"/>
        <v>5002</v>
      </c>
      <c r="N36" s="65">
        <f t="shared" si="6"/>
        <v>0</v>
      </c>
      <c r="O36" s="65">
        <f t="shared" si="6"/>
        <v>5002</v>
      </c>
      <c r="P36" s="65">
        <f t="shared" si="6"/>
        <v>5002</v>
      </c>
      <c r="Q36" s="65">
        <f t="shared" si="6"/>
        <v>5002</v>
      </c>
      <c r="R36" s="65">
        <f t="shared" si="6"/>
        <v>3266</v>
      </c>
      <c r="S36" s="65">
        <f t="shared" si="6"/>
        <v>5002</v>
      </c>
      <c r="T36" s="65">
        <f t="shared" si="6"/>
        <v>3266</v>
      </c>
      <c r="U36" s="65">
        <f t="shared" si="6"/>
        <v>5002</v>
      </c>
      <c r="V36" s="65">
        <f t="shared" si="6"/>
        <v>0</v>
      </c>
      <c r="W36" s="65">
        <f t="shared" si="6"/>
        <v>2703.5</v>
      </c>
    </row>
    <row r="37" spans="1:23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52"/>
      <c r="P37" s="154"/>
      <c r="Q37" s="154"/>
      <c r="R37" s="152">
        <v>43691</v>
      </c>
      <c r="S37" s="154"/>
      <c r="T37" s="154"/>
      <c r="U37" s="154"/>
      <c r="V37" s="154"/>
      <c r="W37" s="154"/>
    </row>
    <row r="38" spans="1:23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>
        <v>13064</v>
      </c>
      <c r="S38" s="157"/>
      <c r="T38" s="157"/>
      <c r="U38" s="157"/>
      <c r="V38" s="157"/>
      <c r="W38" s="157"/>
    </row>
    <row r="39" spans="1:23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>
        <v>20008</v>
      </c>
      <c r="S39" s="157"/>
      <c r="T39" s="157"/>
      <c r="U39" s="157"/>
      <c r="V39" s="157"/>
      <c r="W39" s="157"/>
    </row>
    <row r="40" spans="1:23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  <c r="Q40" s="157"/>
      <c r="R40" s="157" t="s">
        <v>540</v>
      </c>
      <c r="S40" s="157"/>
      <c r="T40" s="157"/>
      <c r="U40" s="157"/>
      <c r="V40" s="157"/>
      <c r="W40" s="157"/>
    </row>
    <row r="41" spans="1:23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</row>
    <row r="42" spans="1:23" x14ac:dyDescent="0.35">
      <c r="A42" s="225" t="s">
        <v>167</v>
      </c>
      <c r="B42" s="225"/>
      <c r="C42" s="225">
        <f>IFERROR(C39-C38,"")</f>
        <v>0</v>
      </c>
      <c r="D42" s="225">
        <f t="shared" ref="D42:W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0</v>
      </c>
      <c r="P42" s="225">
        <f t="shared" si="7"/>
        <v>0</v>
      </c>
      <c r="Q42" s="225">
        <f t="shared" si="7"/>
        <v>0</v>
      </c>
      <c r="R42" s="225">
        <f t="shared" si="7"/>
        <v>6944</v>
      </c>
      <c r="S42" s="225">
        <f t="shared" si="7"/>
        <v>0</v>
      </c>
      <c r="T42" s="225">
        <f t="shared" si="7"/>
        <v>0</v>
      </c>
      <c r="U42" s="225">
        <f t="shared" si="7"/>
        <v>0</v>
      </c>
      <c r="V42" s="225">
        <f t="shared" si="7"/>
        <v>0</v>
      </c>
      <c r="W42" s="225">
        <f t="shared" si="7"/>
        <v>0</v>
      </c>
    </row>
    <row r="43" spans="1:23" ht="16.399999999999999" customHeight="1" x14ac:dyDescent="0.35">
      <c r="A43" s="65" t="s">
        <v>2</v>
      </c>
      <c r="B43" s="65"/>
      <c r="C43" s="65">
        <f>AVERAGE(C35,C42,C28,C21,C14)</f>
        <v>4001.6</v>
      </c>
      <c r="D43" s="65">
        <f t="shared" ref="D43:W43" si="8">AVERAGE(D35,D42,D28,D21,D14)</f>
        <v>4001.6</v>
      </c>
      <c r="E43" s="65">
        <f t="shared" si="8"/>
        <v>0</v>
      </c>
      <c r="F43" s="65">
        <f t="shared" si="8"/>
        <v>2612.8000000000002</v>
      </c>
      <c r="G43" s="65">
        <f t="shared" si="8"/>
        <v>2612.8000000000002</v>
      </c>
      <c r="H43" s="65">
        <f t="shared" si="8"/>
        <v>0</v>
      </c>
      <c r="I43" s="65">
        <f t="shared" si="8"/>
        <v>0</v>
      </c>
      <c r="J43" s="65">
        <f t="shared" si="8"/>
        <v>0</v>
      </c>
      <c r="K43" s="65">
        <f t="shared" si="8"/>
        <v>2162.8000000000002</v>
      </c>
      <c r="L43" s="65">
        <f t="shared" si="8"/>
        <v>0</v>
      </c>
      <c r="M43" s="65">
        <f t="shared" si="8"/>
        <v>4001.6</v>
      </c>
      <c r="N43" s="65">
        <f t="shared" si="8"/>
        <v>0</v>
      </c>
      <c r="O43" s="65">
        <f t="shared" si="8"/>
        <v>4001.6</v>
      </c>
      <c r="P43" s="65">
        <f t="shared" si="8"/>
        <v>4001.6</v>
      </c>
      <c r="Q43" s="65">
        <f t="shared" si="8"/>
        <v>4001.6</v>
      </c>
      <c r="R43" s="65">
        <f t="shared" si="8"/>
        <v>4001.6</v>
      </c>
      <c r="S43" s="65">
        <f t="shared" si="8"/>
        <v>4001.6</v>
      </c>
      <c r="T43" s="65">
        <f t="shared" si="8"/>
        <v>2612.8000000000002</v>
      </c>
      <c r="U43" s="65">
        <f t="shared" si="8"/>
        <v>4001.6</v>
      </c>
      <c r="V43" s="65">
        <f t="shared" si="8"/>
        <v>0</v>
      </c>
      <c r="W43" s="65">
        <f t="shared" si="8"/>
        <v>2162.8000000000002</v>
      </c>
    </row>
    <row r="44" spans="1:23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/>
      <c r="P44" s="154"/>
      <c r="Q44" s="154"/>
      <c r="R44" s="154"/>
      <c r="S44" s="154"/>
      <c r="T44" s="154"/>
      <c r="U44" s="154"/>
      <c r="V44" s="154"/>
      <c r="W44" s="154"/>
    </row>
    <row r="45" spans="1:23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</row>
    <row r="46" spans="1:23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</row>
    <row r="47" spans="1:23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</row>
    <row r="48" spans="1:23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</row>
    <row r="49" spans="1:23" x14ac:dyDescent="0.35">
      <c r="A49" s="225" t="s">
        <v>167</v>
      </c>
      <c r="B49" s="225"/>
      <c r="C49" s="225">
        <f>IFERROR(C46-C45,"")</f>
        <v>0</v>
      </c>
      <c r="D49" s="225">
        <f t="shared" ref="D49:W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  <c r="V49" s="225">
        <f t="shared" si="9"/>
        <v>0</v>
      </c>
      <c r="W49" s="225">
        <f t="shared" si="9"/>
        <v>0</v>
      </c>
    </row>
    <row r="50" spans="1:23" ht="16.399999999999999" customHeight="1" x14ac:dyDescent="0.35">
      <c r="A50" s="65" t="s">
        <v>2</v>
      </c>
      <c r="B50" s="65"/>
      <c r="C50" s="65">
        <f>AVERAGE(C42,C49,C35,C28,C21,C14)</f>
        <v>3334.6666666666665</v>
      </c>
      <c r="D50" s="65">
        <f t="shared" ref="D50:W50" si="10">AVERAGE(D42,D49,D35,D28,D21,D14)</f>
        <v>3334.6666666666665</v>
      </c>
      <c r="E50" s="65">
        <f t="shared" si="10"/>
        <v>0</v>
      </c>
      <c r="F50" s="65">
        <f t="shared" si="10"/>
        <v>2177.3333333333335</v>
      </c>
      <c r="G50" s="65">
        <f t="shared" si="10"/>
        <v>2177.3333333333335</v>
      </c>
      <c r="H50" s="65">
        <f t="shared" si="10"/>
        <v>0</v>
      </c>
      <c r="I50" s="65">
        <f t="shared" si="10"/>
        <v>0</v>
      </c>
      <c r="J50" s="65">
        <f t="shared" si="10"/>
        <v>0</v>
      </c>
      <c r="K50" s="65">
        <f t="shared" si="10"/>
        <v>1802.3333333333333</v>
      </c>
      <c r="L50" s="65">
        <f t="shared" si="10"/>
        <v>0</v>
      </c>
      <c r="M50" s="65">
        <f t="shared" si="10"/>
        <v>3334.6666666666665</v>
      </c>
      <c r="N50" s="65">
        <f t="shared" si="10"/>
        <v>0</v>
      </c>
      <c r="O50" s="65">
        <f t="shared" si="10"/>
        <v>3334.6666666666665</v>
      </c>
      <c r="P50" s="65">
        <f t="shared" si="10"/>
        <v>3334.6666666666665</v>
      </c>
      <c r="Q50" s="65">
        <f t="shared" si="10"/>
        <v>3334.6666666666665</v>
      </c>
      <c r="R50" s="65">
        <f t="shared" si="10"/>
        <v>3334.6666666666665</v>
      </c>
      <c r="S50" s="65">
        <f t="shared" si="10"/>
        <v>3334.6666666666665</v>
      </c>
      <c r="T50" s="65">
        <f t="shared" si="10"/>
        <v>2177.3333333333335</v>
      </c>
      <c r="U50" s="65">
        <f t="shared" si="10"/>
        <v>3334.6666666666665</v>
      </c>
      <c r="V50" s="65">
        <f t="shared" si="10"/>
        <v>0</v>
      </c>
      <c r="W50" s="65">
        <f t="shared" si="10"/>
        <v>1802.3333333333333</v>
      </c>
    </row>
    <row r="51" spans="1:23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/>
      <c r="P51" s="154"/>
      <c r="Q51" s="154"/>
      <c r="R51" s="154"/>
      <c r="S51" s="154"/>
      <c r="T51" s="154"/>
      <c r="U51" s="154"/>
      <c r="V51" s="154"/>
      <c r="W51" s="154"/>
    </row>
    <row r="52" spans="1:23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</row>
    <row r="53" spans="1:23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</row>
    <row r="54" spans="1:23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</row>
    <row r="55" spans="1:23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</row>
    <row r="56" spans="1:23" x14ac:dyDescent="0.35">
      <c r="A56" s="225" t="s">
        <v>167</v>
      </c>
      <c r="B56" s="225"/>
      <c r="C56" s="225">
        <f>IFERROR(C53-C52,"")</f>
        <v>0</v>
      </c>
      <c r="D56" s="225">
        <f t="shared" ref="D56:W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0</v>
      </c>
      <c r="P56" s="225">
        <f t="shared" si="11"/>
        <v>0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  <c r="V56" s="225">
        <f t="shared" si="11"/>
        <v>0</v>
      </c>
      <c r="W56" s="225">
        <f t="shared" si="11"/>
        <v>0</v>
      </c>
    </row>
    <row r="57" spans="1:23" ht="16.399999999999999" customHeight="1" x14ac:dyDescent="0.35">
      <c r="A57" s="65" t="s">
        <v>2</v>
      </c>
      <c r="B57" s="65"/>
      <c r="C57" s="65">
        <f>AVERAGE(C49,C56,C42,C35,C28,C21,C14)</f>
        <v>2858.2857142857142</v>
      </c>
      <c r="D57" s="65">
        <f t="shared" ref="D57:W57" si="12">AVERAGE(D49,D56,D42,D35,D28,D21,D14)</f>
        <v>2858.2857142857142</v>
      </c>
      <c r="E57" s="65">
        <f t="shared" si="12"/>
        <v>0</v>
      </c>
      <c r="F57" s="65">
        <f t="shared" si="12"/>
        <v>1866.2857142857142</v>
      </c>
      <c r="G57" s="65">
        <f t="shared" si="12"/>
        <v>1866.2857142857142</v>
      </c>
      <c r="H57" s="65">
        <f t="shared" si="12"/>
        <v>0</v>
      </c>
      <c r="I57" s="65">
        <f t="shared" si="12"/>
        <v>0</v>
      </c>
      <c r="J57" s="65">
        <f t="shared" si="12"/>
        <v>0</v>
      </c>
      <c r="K57" s="65">
        <f t="shared" si="12"/>
        <v>1544.8571428571429</v>
      </c>
      <c r="L57" s="65">
        <f t="shared" si="12"/>
        <v>0</v>
      </c>
      <c r="M57" s="65">
        <f t="shared" si="12"/>
        <v>2858.2857142857142</v>
      </c>
      <c r="N57" s="65">
        <f t="shared" si="12"/>
        <v>0</v>
      </c>
      <c r="O57" s="65">
        <f t="shared" si="12"/>
        <v>2858.2857142857142</v>
      </c>
      <c r="P57" s="65">
        <f t="shared" si="12"/>
        <v>2858.2857142857142</v>
      </c>
      <c r="Q57" s="65">
        <f t="shared" si="12"/>
        <v>2858.2857142857142</v>
      </c>
      <c r="R57" s="65">
        <f t="shared" si="12"/>
        <v>2858.2857142857142</v>
      </c>
      <c r="S57" s="65">
        <f t="shared" si="12"/>
        <v>2858.2857142857142</v>
      </c>
      <c r="T57" s="65">
        <f t="shared" si="12"/>
        <v>1866.2857142857142</v>
      </c>
      <c r="U57" s="65">
        <f t="shared" si="12"/>
        <v>2858.2857142857142</v>
      </c>
      <c r="V57" s="65">
        <f t="shared" si="12"/>
        <v>0</v>
      </c>
      <c r="W57" s="65">
        <f t="shared" si="12"/>
        <v>1544.8571428571429</v>
      </c>
    </row>
    <row r="58" spans="1:23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/>
      <c r="P58" s="154"/>
      <c r="Q58" s="154"/>
      <c r="R58" s="154"/>
      <c r="S58" s="154"/>
      <c r="T58" s="154"/>
      <c r="U58" s="154"/>
      <c r="V58" s="154"/>
      <c r="W58" s="154"/>
    </row>
    <row r="59" spans="1:23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</row>
    <row r="60" spans="1:23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</row>
    <row r="61" spans="1:23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</row>
    <row r="62" spans="1:23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</row>
    <row r="63" spans="1:23" x14ac:dyDescent="0.35">
      <c r="A63" s="225" t="s">
        <v>167</v>
      </c>
      <c r="B63" s="225"/>
      <c r="C63" s="225">
        <f>IFERROR(C60-C59,"")</f>
        <v>0</v>
      </c>
      <c r="D63" s="225">
        <f t="shared" ref="D63:W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  <c r="V63" s="225">
        <f t="shared" si="13"/>
        <v>0</v>
      </c>
      <c r="W63" s="225">
        <f t="shared" si="13"/>
        <v>0</v>
      </c>
    </row>
    <row r="64" spans="1:23" ht="16.399999999999999" customHeight="1" x14ac:dyDescent="0.35">
      <c r="A64" s="65" t="s">
        <v>2</v>
      </c>
      <c r="B64" s="65"/>
      <c r="C64" s="65">
        <f>AVERAGE(C56,C63,C49,C42,C35,C28,C21,C14)</f>
        <v>2501</v>
      </c>
      <c r="D64" s="65">
        <f t="shared" ref="D64:W64" si="14">AVERAGE(D56,D63,D49,D42,D35,D28,D21,D14)</f>
        <v>2501</v>
      </c>
      <c r="E64" s="65">
        <f t="shared" si="14"/>
        <v>0</v>
      </c>
      <c r="F64" s="65">
        <f t="shared" si="14"/>
        <v>1633</v>
      </c>
      <c r="G64" s="65">
        <f t="shared" si="14"/>
        <v>1633</v>
      </c>
      <c r="H64" s="65">
        <f t="shared" si="14"/>
        <v>0</v>
      </c>
      <c r="I64" s="65">
        <f t="shared" si="14"/>
        <v>0</v>
      </c>
      <c r="J64" s="65">
        <f t="shared" si="14"/>
        <v>0</v>
      </c>
      <c r="K64" s="65">
        <f t="shared" si="14"/>
        <v>1351.75</v>
      </c>
      <c r="L64" s="65">
        <f t="shared" si="14"/>
        <v>0</v>
      </c>
      <c r="M64" s="65">
        <f t="shared" si="14"/>
        <v>2501</v>
      </c>
      <c r="N64" s="65">
        <f t="shared" si="14"/>
        <v>0</v>
      </c>
      <c r="O64" s="65">
        <f t="shared" si="14"/>
        <v>2501</v>
      </c>
      <c r="P64" s="65">
        <f t="shared" si="14"/>
        <v>2501</v>
      </c>
      <c r="Q64" s="65">
        <f t="shared" si="14"/>
        <v>2501</v>
      </c>
      <c r="R64" s="65">
        <f t="shared" si="14"/>
        <v>2501</v>
      </c>
      <c r="S64" s="65">
        <f t="shared" si="14"/>
        <v>2501</v>
      </c>
      <c r="T64" s="65">
        <f t="shared" si="14"/>
        <v>1633</v>
      </c>
      <c r="U64" s="65">
        <f t="shared" si="14"/>
        <v>2501</v>
      </c>
      <c r="V64" s="65">
        <f t="shared" si="14"/>
        <v>0</v>
      </c>
      <c r="W64" s="65">
        <f t="shared" si="14"/>
        <v>1351.75</v>
      </c>
    </row>
  </sheetData>
  <sheetProtection algorithmName="SHA-512" hashValue="LKz5mmU/bVpPW0RMw+zgUkUj9fLE3E6+wBsBSytyu345uvjBbKsRcw3q6LxHsBeqvyJ7fg5MXklpHHWnO8GFrA==" saltValue="FKFcL5Io2nEx3y5dOBxBGQ==" spinCount="100000" sheet="1" objects="1" scenarios="1"/>
  <autoFilter ref="A2:W64" xr:uid="{00000000-0009-0000-0000-00001E000000}"/>
  <mergeCells count="2">
    <mergeCell ref="A7:B7"/>
    <mergeCell ref="A8:B8"/>
  </mergeCells>
  <conditionalFormatting sqref="C15 F15:W15">
    <cfRule type="expression" dxfId="255" priority="55">
      <formula>C15&lt;#REF!</formula>
    </cfRule>
    <cfRule type="expression" dxfId="254" priority="56">
      <formula>C15&gt;#REF!</formula>
    </cfRule>
  </conditionalFormatting>
  <conditionalFormatting sqref="D15">
    <cfRule type="expression" dxfId="253" priority="57">
      <formula>D15&lt;#REF!</formula>
    </cfRule>
    <cfRule type="expression" dxfId="252" priority="58">
      <formula>D15&gt;#REF!</formula>
    </cfRule>
  </conditionalFormatting>
  <conditionalFormatting sqref="E15">
    <cfRule type="expression" dxfId="251" priority="59" stopIfTrue="1">
      <formula>E15&lt;#REF!</formula>
    </cfRule>
    <cfRule type="expression" dxfId="250" priority="60" stopIfTrue="1">
      <formula>E15&gt;#REF!</formula>
    </cfRule>
  </conditionalFormatting>
  <conditionalFormatting sqref="C22:W22">
    <cfRule type="expression" dxfId="249" priority="49">
      <formula>C22&lt;#REF!</formula>
    </cfRule>
    <cfRule type="expression" dxfId="248" priority="50">
      <formula>C22&gt;#REF!</formula>
    </cfRule>
  </conditionalFormatting>
  <conditionalFormatting sqref="D22">
    <cfRule type="expression" dxfId="247" priority="51">
      <formula>D22&lt;#REF!</formula>
    </cfRule>
    <cfRule type="expression" dxfId="246" priority="52">
      <formula>D22&gt;#REF!</formula>
    </cfRule>
  </conditionalFormatting>
  <conditionalFormatting sqref="E22">
    <cfRule type="expression" dxfId="245" priority="53" stopIfTrue="1">
      <formula>E22&lt;#REF!</formula>
    </cfRule>
    <cfRule type="expression" dxfId="244" priority="54" stopIfTrue="1">
      <formula>E22&gt;#REF!</formula>
    </cfRule>
  </conditionalFormatting>
  <conditionalFormatting sqref="F29:W29">
    <cfRule type="expression" dxfId="243" priority="43">
      <formula>F29&lt;#REF!</formula>
    </cfRule>
    <cfRule type="expression" dxfId="242" priority="44">
      <formula>F29&gt;#REF!</formula>
    </cfRule>
  </conditionalFormatting>
  <conditionalFormatting sqref="D29">
    <cfRule type="expression" dxfId="241" priority="45">
      <formula>D29&lt;#REF!</formula>
    </cfRule>
    <cfRule type="expression" dxfId="240" priority="46">
      <formula>D29&gt;#REF!</formula>
    </cfRule>
  </conditionalFormatting>
  <conditionalFormatting sqref="E29">
    <cfRule type="expression" dxfId="239" priority="47" stopIfTrue="1">
      <formula>E29&lt;#REF!</formula>
    </cfRule>
    <cfRule type="expression" dxfId="238" priority="48" stopIfTrue="1">
      <formula>E29&gt;#REF!</formula>
    </cfRule>
  </conditionalFormatting>
  <conditionalFormatting sqref="F36:W36">
    <cfRule type="expression" dxfId="237" priority="37">
      <formula>F36&lt;#REF!</formula>
    </cfRule>
    <cfRule type="expression" dxfId="236" priority="38">
      <formula>F36&gt;#REF!</formula>
    </cfRule>
  </conditionalFormatting>
  <conditionalFormatting sqref="D36">
    <cfRule type="expression" dxfId="235" priority="39">
      <formula>D36&lt;#REF!</formula>
    </cfRule>
    <cfRule type="expression" dxfId="234" priority="40">
      <formula>D36&gt;#REF!</formula>
    </cfRule>
  </conditionalFormatting>
  <conditionalFormatting sqref="E36">
    <cfRule type="expression" dxfId="233" priority="41" stopIfTrue="1">
      <formula>E36&lt;#REF!</formula>
    </cfRule>
    <cfRule type="expression" dxfId="232" priority="42" stopIfTrue="1">
      <formula>E36&gt;#REF!</formula>
    </cfRule>
  </conditionalFormatting>
  <conditionalFormatting sqref="F43:W43">
    <cfRule type="expression" dxfId="231" priority="31">
      <formula>F43&lt;#REF!</formula>
    </cfRule>
    <cfRule type="expression" dxfId="230" priority="32">
      <formula>F43&gt;#REF!</formula>
    </cfRule>
  </conditionalFormatting>
  <conditionalFormatting sqref="D43">
    <cfRule type="expression" dxfId="229" priority="33">
      <formula>D43&lt;#REF!</formula>
    </cfRule>
    <cfRule type="expression" dxfId="228" priority="34">
      <formula>D43&gt;#REF!</formula>
    </cfRule>
  </conditionalFormatting>
  <conditionalFormatting sqref="E43">
    <cfRule type="expression" dxfId="227" priority="35" stopIfTrue="1">
      <formula>E43&lt;#REF!</formula>
    </cfRule>
    <cfRule type="expression" dxfId="226" priority="36" stopIfTrue="1">
      <formula>E43&gt;#REF!</formula>
    </cfRule>
  </conditionalFormatting>
  <conditionalFormatting sqref="F50:W50">
    <cfRule type="expression" dxfId="225" priority="25">
      <formula>F50&lt;#REF!</formula>
    </cfRule>
    <cfRule type="expression" dxfId="224" priority="26">
      <formula>F50&gt;#REF!</formula>
    </cfRule>
  </conditionalFormatting>
  <conditionalFormatting sqref="D50">
    <cfRule type="expression" dxfId="223" priority="27">
      <formula>D50&lt;#REF!</formula>
    </cfRule>
    <cfRule type="expression" dxfId="222" priority="28">
      <formula>D50&gt;#REF!</formula>
    </cfRule>
  </conditionalFormatting>
  <conditionalFormatting sqref="E50">
    <cfRule type="expression" dxfId="221" priority="29" stopIfTrue="1">
      <formula>E50&lt;#REF!</formula>
    </cfRule>
    <cfRule type="expression" dxfId="220" priority="30" stopIfTrue="1">
      <formula>E50&gt;#REF!</formula>
    </cfRule>
  </conditionalFormatting>
  <conditionalFormatting sqref="F57:W57">
    <cfRule type="expression" dxfId="219" priority="19">
      <formula>F57&lt;#REF!</formula>
    </cfRule>
    <cfRule type="expression" dxfId="218" priority="20">
      <formula>F57&gt;#REF!</formula>
    </cfRule>
  </conditionalFormatting>
  <conditionalFormatting sqref="D57">
    <cfRule type="expression" dxfId="217" priority="21">
      <formula>D57&lt;#REF!</formula>
    </cfRule>
    <cfRule type="expression" dxfId="216" priority="22">
      <formula>D57&gt;#REF!</formula>
    </cfRule>
  </conditionalFormatting>
  <conditionalFormatting sqref="E57">
    <cfRule type="expression" dxfId="215" priority="23" stopIfTrue="1">
      <formula>E57&lt;#REF!</formula>
    </cfRule>
    <cfRule type="expression" dxfId="214" priority="24" stopIfTrue="1">
      <formula>E57&gt;#REF!</formula>
    </cfRule>
  </conditionalFormatting>
  <conditionalFormatting sqref="F64:W64">
    <cfRule type="expression" dxfId="213" priority="13">
      <formula>F64&lt;#REF!</formula>
    </cfRule>
    <cfRule type="expression" dxfId="212" priority="14">
      <formula>F64&gt;#REF!</formula>
    </cfRule>
  </conditionalFormatting>
  <conditionalFormatting sqref="D64">
    <cfRule type="expression" dxfId="211" priority="15">
      <formula>D64&lt;#REF!</formula>
    </cfRule>
    <cfRule type="expression" dxfId="210" priority="16">
      <formula>D64&gt;#REF!</formula>
    </cfRule>
  </conditionalFormatting>
  <conditionalFormatting sqref="E64">
    <cfRule type="expression" dxfId="209" priority="17" stopIfTrue="1">
      <formula>E64&lt;#REF!</formula>
    </cfRule>
    <cfRule type="expression" dxfId="208" priority="18" stopIfTrue="1">
      <formula>E64&gt;#REF!</formula>
    </cfRule>
  </conditionalFormatting>
  <conditionalFormatting sqref="C29:W29">
    <cfRule type="expression" dxfId="207" priority="11">
      <formula>C29&lt;#REF!</formula>
    </cfRule>
    <cfRule type="expression" dxfId="206" priority="12">
      <formula>C29&gt;#REF!</formula>
    </cfRule>
  </conditionalFormatting>
  <conditionalFormatting sqref="C64:W64">
    <cfRule type="expression" dxfId="205" priority="1">
      <formula>C64&lt;#REF!</formula>
    </cfRule>
    <cfRule type="expression" dxfId="204" priority="2">
      <formula>C64&gt;#REF!</formula>
    </cfRule>
  </conditionalFormatting>
  <conditionalFormatting sqref="C36:W36">
    <cfRule type="expression" dxfId="203" priority="9">
      <formula>C36&lt;#REF!</formula>
    </cfRule>
    <cfRule type="expression" dxfId="202" priority="10">
      <formula>C36&gt;#REF!</formula>
    </cfRule>
  </conditionalFormatting>
  <conditionalFormatting sqref="C43:W43">
    <cfRule type="expression" dxfId="201" priority="7">
      <formula>C43&lt;#REF!</formula>
    </cfRule>
    <cfRule type="expression" dxfId="200" priority="8">
      <formula>C43&gt;#REF!</formula>
    </cfRule>
  </conditionalFormatting>
  <conditionalFormatting sqref="C50:W50">
    <cfRule type="expression" dxfId="199" priority="5">
      <formula>C50&lt;#REF!</formula>
    </cfRule>
    <cfRule type="expression" dxfId="198" priority="6">
      <formula>C50&gt;#REF!</formula>
    </cfRule>
  </conditionalFormatting>
  <conditionalFormatting sqref="C57:W57">
    <cfRule type="expression" dxfId="197" priority="3">
      <formula>C57&lt;#REF!</formula>
    </cfRule>
    <cfRule type="expression" dxfId="196" priority="4">
      <formula>C57&gt;#REF!</formula>
    </cfRule>
  </conditionalFormatting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1"/>
  <dimension ref="A1:W64"/>
  <sheetViews>
    <sheetView zoomScale="74" workbookViewId="0">
      <selection activeCell="A14" sqref="A14:XFD15"/>
    </sheetView>
  </sheetViews>
  <sheetFormatPr defaultColWidth="8.81640625" defaultRowHeight="14.5" x14ac:dyDescent="0.35"/>
  <cols>
    <col min="1" max="1" width="16.81640625" bestFit="1" customWidth="1"/>
    <col min="2" max="2" width="6.1796875" customWidth="1"/>
    <col min="3" max="3" width="21.54296875" bestFit="1" customWidth="1"/>
    <col min="4" max="4" width="20.81640625" customWidth="1"/>
    <col min="5" max="5" width="23.1796875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0" width="18.54296875" customWidth="1"/>
    <col min="11" max="11" width="18.81640625" customWidth="1"/>
    <col min="12" max="12" width="17.1796875" bestFit="1" customWidth="1"/>
    <col min="13" max="13" width="19.453125" customWidth="1"/>
    <col min="14" max="14" width="16.81640625" customWidth="1"/>
    <col min="15" max="15" width="18.54296875" customWidth="1"/>
    <col min="16" max="16" width="17.1796875" bestFit="1" customWidth="1"/>
    <col min="17" max="17" width="18.81640625" customWidth="1"/>
    <col min="18" max="18" width="21.81640625" customWidth="1"/>
    <col min="19" max="19" width="17.1796875" bestFit="1" customWidth="1"/>
    <col min="20" max="20" width="23.1796875" customWidth="1"/>
    <col min="21" max="21" width="20.54296875" customWidth="1"/>
    <col min="22" max="22" width="17.1796875" bestFit="1" customWidth="1"/>
    <col min="23" max="23" width="18" customWidth="1"/>
  </cols>
  <sheetData>
    <row r="1" spans="1:23" ht="15" thickBot="1" x14ac:dyDescent="0.4"/>
    <row r="2" spans="1:23" x14ac:dyDescent="0.35">
      <c r="E2" s="130" t="s">
        <v>503</v>
      </c>
      <c r="F2" s="131"/>
      <c r="G2" s="131" t="s">
        <v>104</v>
      </c>
      <c r="H2" s="131"/>
      <c r="I2" s="132"/>
    </row>
    <row r="3" spans="1:23" x14ac:dyDescent="0.35">
      <c r="E3" s="133"/>
      <c r="F3" s="134" t="s">
        <v>504</v>
      </c>
      <c r="G3" s="135"/>
      <c r="H3" s="134"/>
      <c r="I3" s="136"/>
    </row>
    <row r="4" spans="1:23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23" ht="30.65" customHeight="1" x14ac:dyDescent="0.35">
      <c r="A5" s="141" t="s">
        <v>541</v>
      </c>
      <c r="B5" s="170" t="s">
        <v>542</v>
      </c>
    </row>
    <row r="6" spans="1:23" ht="28.4" customHeight="1" x14ac:dyDescent="0.35">
      <c r="A6" s="142" t="s">
        <v>200</v>
      </c>
      <c r="B6" s="169"/>
      <c r="C6" s="142" t="s">
        <v>507</v>
      </c>
      <c r="D6" s="142" t="s">
        <v>508</v>
      </c>
      <c r="E6" s="142" t="s">
        <v>509</v>
      </c>
      <c r="F6" s="142" t="s">
        <v>510</v>
      </c>
      <c r="G6" s="143" t="s">
        <v>511</v>
      </c>
      <c r="H6" s="143" t="s">
        <v>512</v>
      </c>
      <c r="I6" s="143" t="s">
        <v>513</v>
      </c>
      <c r="J6" s="142" t="s">
        <v>514</v>
      </c>
      <c r="K6" s="142" t="s">
        <v>515</v>
      </c>
      <c r="L6" s="142" t="s">
        <v>516</v>
      </c>
      <c r="M6" s="142" t="s">
        <v>517</v>
      </c>
      <c r="N6" s="142" t="s">
        <v>518</v>
      </c>
      <c r="O6" s="142" t="s">
        <v>520</v>
      </c>
      <c r="P6" s="144" t="s">
        <v>521</v>
      </c>
      <c r="Q6" s="144" t="s">
        <v>522</v>
      </c>
      <c r="R6" s="142" t="s">
        <v>523</v>
      </c>
      <c r="S6" s="142" t="s">
        <v>524</v>
      </c>
      <c r="T6" s="142" t="s">
        <v>525</v>
      </c>
      <c r="U6" s="142" t="s">
        <v>526</v>
      </c>
      <c r="V6" s="142" t="s">
        <v>527</v>
      </c>
      <c r="W6" s="142" t="s">
        <v>528</v>
      </c>
    </row>
    <row r="7" spans="1:23" x14ac:dyDescent="0.35">
      <c r="A7" s="252" t="s">
        <v>137</v>
      </c>
      <c r="B7" s="252"/>
      <c r="C7" s="145" t="s">
        <v>286</v>
      </c>
      <c r="D7" s="145" t="s">
        <v>529</v>
      </c>
      <c r="E7" s="145" t="s">
        <v>141</v>
      </c>
      <c r="F7" s="145" t="s">
        <v>287</v>
      </c>
      <c r="G7" s="145" t="s">
        <v>215</v>
      </c>
      <c r="H7" s="145" t="s">
        <v>142</v>
      </c>
      <c r="I7" s="145" t="s">
        <v>143</v>
      </c>
      <c r="J7" s="145" t="s">
        <v>320</v>
      </c>
      <c r="K7" s="145" t="s">
        <v>288</v>
      </c>
      <c r="L7" s="145" t="s">
        <v>144</v>
      </c>
      <c r="M7" s="145" t="s">
        <v>145</v>
      </c>
      <c r="N7" s="145" t="s">
        <v>146</v>
      </c>
      <c r="O7" s="145" t="s">
        <v>147</v>
      </c>
      <c r="P7" s="145" t="s">
        <v>148</v>
      </c>
      <c r="Q7" s="145" t="s">
        <v>149</v>
      </c>
      <c r="R7" s="145" t="s">
        <v>150</v>
      </c>
      <c r="S7" s="145" t="s">
        <v>151</v>
      </c>
      <c r="T7" s="145" t="s">
        <v>153</v>
      </c>
      <c r="U7" s="145" t="s">
        <v>154</v>
      </c>
      <c r="V7" s="145" t="s">
        <v>155</v>
      </c>
      <c r="W7" s="145" t="s">
        <v>289</v>
      </c>
    </row>
    <row r="8" spans="1:23" x14ac:dyDescent="0.35">
      <c r="A8" s="253" t="s">
        <v>158</v>
      </c>
      <c r="B8" s="253"/>
      <c r="C8" s="147">
        <v>1</v>
      </c>
      <c r="D8" s="148">
        <v>1</v>
      </c>
      <c r="E8" s="147">
        <v>2</v>
      </c>
      <c r="F8" s="147">
        <v>1</v>
      </c>
      <c r="G8" s="147">
        <v>2</v>
      </c>
      <c r="H8" s="147">
        <v>1</v>
      </c>
      <c r="I8" s="147">
        <v>1</v>
      </c>
      <c r="J8" s="147">
        <v>1</v>
      </c>
      <c r="K8" s="147">
        <v>1</v>
      </c>
      <c r="L8" s="147">
        <v>1</v>
      </c>
      <c r="M8" s="147">
        <v>2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1</v>
      </c>
      <c r="U8" s="147">
        <v>1</v>
      </c>
      <c r="V8" s="147">
        <v>4</v>
      </c>
      <c r="W8" s="147">
        <v>1</v>
      </c>
    </row>
    <row r="9" spans="1:23" x14ac:dyDescent="0.35">
      <c r="A9" s="150" t="s">
        <v>159</v>
      </c>
      <c r="B9" s="151"/>
      <c r="C9" s="173" t="s">
        <v>225</v>
      </c>
      <c r="D9" s="173" t="s">
        <v>225</v>
      </c>
      <c r="E9" s="173" t="s">
        <v>225</v>
      </c>
      <c r="F9" s="152"/>
      <c r="G9" s="173" t="s">
        <v>225</v>
      </c>
      <c r="H9" s="152"/>
      <c r="I9" s="152"/>
      <c r="J9" s="152"/>
      <c r="K9" s="173" t="s">
        <v>225</v>
      </c>
      <c r="L9" s="173" t="s">
        <v>225</v>
      </c>
      <c r="M9" s="152"/>
      <c r="N9" s="173" t="s">
        <v>225</v>
      </c>
      <c r="O9" s="152"/>
      <c r="P9" s="152"/>
      <c r="Q9" s="173" t="s">
        <v>225</v>
      </c>
      <c r="R9" s="173" t="s">
        <v>225</v>
      </c>
      <c r="S9" s="173" t="s">
        <v>225</v>
      </c>
      <c r="T9" s="173" t="s">
        <v>225</v>
      </c>
      <c r="U9" s="173" t="s">
        <v>225</v>
      </c>
      <c r="V9" s="152"/>
      <c r="W9" s="152"/>
    </row>
    <row r="10" spans="1:23" x14ac:dyDescent="0.35">
      <c r="A10" s="155" t="s">
        <v>161</v>
      </c>
      <c r="B10" s="156" t="s">
        <v>162</v>
      </c>
      <c r="C10" s="172">
        <v>0</v>
      </c>
      <c r="D10" s="172">
        <v>0</v>
      </c>
      <c r="E10" s="172">
        <v>0</v>
      </c>
      <c r="F10" s="157"/>
      <c r="G10" s="172">
        <v>0</v>
      </c>
      <c r="H10" s="157"/>
      <c r="I10" s="157"/>
      <c r="J10" s="157"/>
      <c r="K10" s="172">
        <v>0</v>
      </c>
      <c r="L10" s="172">
        <v>0</v>
      </c>
      <c r="M10" s="157"/>
      <c r="N10" s="172">
        <v>0</v>
      </c>
      <c r="O10" s="157"/>
      <c r="P10" s="157"/>
      <c r="Q10" s="172">
        <v>0</v>
      </c>
      <c r="R10" s="172">
        <v>0</v>
      </c>
      <c r="S10" s="172">
        <v>0</v>
      </c>
      <c r="T10" s="172">
        <v>0</v>
      </c>
      <c r="U10" s="172">
        <v>0</v>
      </c>
      <c r="V10" s="157"/>
      <c r="W10" s="157"/>
    </row>
    <row r="11" spans="1:23" x14ac:dyDescent="0.35">
      <c r="A11" s="155" t="s">
        <v>161</v>
      </c>
      <c r="B11" s="156" t="s">
        <v>163</v>
      </c>
      <c r="C11" s="172">
        <v>10751</v>
      </c>
      <c r="D11" s="172">
        <v>12999</v>
      </c>
      <c r="E11" s="172">
        <v>10751</v>
      </c>
      <c r="F11" s="157"/>
      <c r="G11" s="172">
        <v>0</v>
      </c>
      <c r="H11" s="157"/>
      <c r="I11" s="157"/>
      <c r="J11" s="157"/>
      <c r="K11" s="172">
        <v>10751</v>
      </c>
      <c r="L11" s="172">
        <v>12999</v>
      </c>
      <c r="M11" s="157">
        <v>19937</v>
      </c>
      <c r="N11" s="172">
        <v>12999</v>
      </c>
      <c r="O11" s="157">
        <v>19937</v>
      </c>
      <c r="P11" s="157"/>
      <c r="Q11" s="172">
        <v>10751</v>
      </c>
      <c r="R11" s="172">
        <v>5167</v>
      </c>
      <c r="S11" s="172">
        <v>12999</v>
      </c>
      <c r="T11" s="172">
        <v>12999</v>
      </c>
      <c r="U11" s="172">
        <v>10751</v>
      </c>
      <c r="V11" s="157"/>
      <c r="W11" s="157"/>
    </row>
    <row r="12" spans="1:23" x14ac:dyDescent="0.35">
      <c r="A12" s="155" t="s">
        <v>164</v>
      </c>
      <c r="B12" s="156"/>
      <c r="C12" s="176">
        <v>43388</v>
      </c>
      <c r="D12" s="178">
        <v>43692</v>
      </c>
      <c r="E12" s="176">
        <v>43388</v>
      </c>
      <c r="F12" s="157"/>
      <c r="G12" s="176">
        <v>43770</v>
      </c>
      <c r="H12" s="157"/>
      <c r="I12" s="157"/>
      <c r="J12" s="166"/>
      <c r="K12" s="176">
        <v>43388</v>
      </c>
      <c r="L12" s="178">
        <v>43692</v>
      </c>
      <c r="M12" s="157" t="s">
        <v>543</v>
      </c>
      <c r="N12" s="178">
        <v>43692</v>
      </c>
      <c r="O12" s="157" t="s">
        <v>543</v>
      </c>
      <c r="P12" s="157"/>
      <c r="Q12" s="176">
        <v>43388</v>
      </c>
      <c r="R12" s="178">
        <v>42897</v>
      </c>
      <c r="S12" s="178">
        <v>43692</v>
      </c>
      <c r="T12" s="178">
        <v>43692</v>
      </c>
      <c r="U12" s="176">
        <v>43388</v>
      </c>
      <c r="V12" s="157"/>
      <c r="W12" s="157"/>
    </row>
    <row r="13" spans="1:23" ht="29" x14ac:dyDescent="0.35">
      <c r="A13" s="160" t="s">
        <v>165</v>
      </c>
      <c r="B13" s="161"/>
      <c r="C13" s="162" t="s">
        <v>166</v>
      </c>
      <c r="D13" s="162" t="s">
        <v>166</v>
      </c>
      <c r="E13" s="162" t="s">
        <v>166</v>
      </c>
      <c r="F13" s="157"/>
      <c r="G13" s="162" t="s">
        <v>166</v>
      </c>
      <c r="H13" s="157"/>
      <c r="I13" s="157"/>
      <c r="J13" s="157"/>
      <c r="K13" s="162" t="s">
        <v>166</v>
      </c>
      <c r="L13" s="162" t="s">
        <v>166</v>
      </c>
      <c r="M13" s="157"/>
      <c r="N13" s="162" t="s">
        <v>166</v>
      </c>
      <c r="O13" s="157"/>
      <c r="P13" s="157"/>
      <c r="Q13" s="162" t="s">
        <v>166</v>
      </c>
      <c r="R13" s="162" t="s">
        <v>166</v>
      </c>
      <c r="S13" s="162" t="s">
        <v>166</v>
      </c>
      <c r="T13" s="162" t="s">
        <v>166</v>
      </c>
      <c r="U13" s="162" t="s">
        <v>166</v>
      </c>
      <c r="V13" s="157"/>
      <c r="W13" s="157"/>
    </row>
    <row r="14" spans="1:23" x14ac:dyDescent="0.35">
      <c r="A14" s="225" t="s">
        <v>167</v>
      </c>
      <c r="B14" s="225"/>
      <c r="C14" s="225">
        <f>IFERROR(C11-C10,"")</f>
        <v>10751</v>
      </c>
      <c r="D14" s="225">
        <f t="shared" ref="D14:W14" si="0">IFERROR(D11-D10,"")</f>
        <v>12999</v>
      </c>
      <c r="E14" s="225">
        <f t="shared" si="0"/>
        <v>10751</v>
      </c>
      <c r="F14" s="225">
        <f t="shared" si="0"/>
        <v>0</v>
      </c>
      <c r="G14" s="225">
        <f t="shared" si="0"/>
        <v>0</v>
      </c>
      <c r="H14" s="225">
        <f t="shared" si="0"/>
        <v>0</v>
      </c>
      <c r="I14" s="225">
        <f t="shared" si="0"/>
        <v>0</v>
      </c>
      <c r="J14" s="225">
        <f t="shared" si="0"/>
        <v>0</v>
      </c>
      <c r="K14" s="225">
        <f t="shared" si="0"/>
        <v>10751</v>
      </c>
      <c r="L14" s="225">
        <f t="shared" si="0"/>
        <v>12999</v>
      </c>
      <c r="M14" s="225">
        <f t="shared" si="0"/>
        <v>19937</v>
      </c>
      <c r="N14" s="225">
        <f t="shared" si="0"/>
        <v>12999</v>
      </c>
      <c r="O14" s="225">
        <f t="shared" si="0"/>
        <v>19937</v>
      </c>
      <c r="P14" s="225">
        <f t="shared" si="0"/>
        <v>0</v>
      </c>
      <c r="Q14" s="225">
        <f t="shared" si="0"/>
        <v>10751</v>
      </c>
      <c r="R14" s="225">
        <f t="shared" si="0"/>
        <v>5167</v>
      </c>
      <c r="S14" s="225">
        <f t="shared" si="0"/>
        <v>12999</v>
      </c>
      <c r="T14" s="225">
        <f t="shared" si="0"/>
        <v>12999</v>
      </c>
      <c r="U14" s="225">
        <f t="shared" si="0"/>
        <v>10751</v>
      </c>
      <c r="V14" s="225">
        <f t="shared" si="0"/>
        <v>0</v>
      </c>
      <c r="W14" s="225">
        <f t="shared" si="0"/>
        <v>0</v>
      </c>
    </row>
    <row r="15" spans="1:23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</row>
    <row r="16" spans="1:23" x14ac:dyDescent="0.35">
      <c r="A16" s="150" t="s">
        <v>159</v>
      </c>
      <c r="B16" s="151"/>
      <c r="C16" s="211">
        <v>43388</v>
      </c>
      <c r="D16" s="178">
        <v>43692</v>
      </c>
      <c r="E16" s="154"/>
      <c r="F16" s="154"/>
      <c r="G16" s="154"/>
      <c r="H16" s="154"/>
      <c r="I16" s="154"/>
      <c r="J16" s="152"/>
      <c r="K16" s="152">
        <v>43388</v>
      </c>
      <c r="L16" s="178">
        <v>43692</v>
      </c>
      <c r="M16" s="154"/>
      <c r="N16" s="152"/>
      <c r="O16" s="152"/>
      <c r="P16" s="154"/>
      <c r="Q16" s="152">
        <v>43388</v>
      </c>
      <c r="R16" s="178">
        <v>42897</v>
      </c>
      <c r="S16" s="152">
        <v>43692</v>
      </c>
      <c r="T16" s="154"/>
      <c r="U16" s="152">
        <v>43388</v>
      </c>
      <c r="V16" s="154"/>
      <c r="W16" s="154"/>
    </row>
    <row r="17" spans="1:23" x14ac:dyDescent="0.35">
      <c r="A17" s="155" t="s">
        <v>161</v>
      </c>
      <c r="B17" s="156" t="s">
        <v>162</v>
      </c>
      <c r="C17" s="165">
        <v>10751</v>
      </c>
      <c r="D17" s="172">
        <v>12999</v>
      </c>
      <c r="E17" s="157"/>
      <c r="F17" s="157"/>
      <c r="G17" s="157"/>
      <c r="H17" s="157"/>
      <c r="I17" s="157"/>
      <c r="J17" s="157"/>
      <c r="K17" s="157">
        <v>10751</v>
      </c>
      <c r="L17" s="172">
        <v>12999</v>
      </c>
      <c r="M17" s="157"/>
      <c r="N17" s="157"/>
      <c r="O17" s="157"/>
      <c r="P17" s="157"/>
      <c r="Q17" s="157">
        <v>10751</v>
      </c>
      <c r="R17" s="172">
        <v>5167</v>
      </c>
      <c r="S17" s="157">
        <v>12999</v>
      </c>
      <c r="T17" s="157"/>
      <c r="U17" s="157">
        <v>10751</v>
      </c>
      <c r="V17" s="157"/>
      <c r="W17" s="157"/>
    </row>
    <row r="18" spans="1:23" x14ac:dyDescent="0.35">
      <c r="A18" s="155" t="s">
        <v>161</v>
      </c>
      <c r="B18" s="156" t="s">
        <v>163</v>
      </c>
      <c r="C18" s="165">
        <v>19937</v>
      </c>
      <c r="D18" s="172"/>
      <c r="E18" s="157"/>
      <c r="F18" s="157"/>
      <c r="G18" s="157"/>
      <c r="H18" s="157"/>
      <c r="I18" s="157"/>
      <c r="J18" s="157"/>
      <c r="K18" s="157">
        <v>19937</v>
      </c>
      <c r="L18" s="172"/>
      <c r="M18" s="157"/>
      <c r="N18" s="157"/>
      <c r="O18" s="157"/>
      <c r="P18" s="157"/>
      <c r="Q18" s="157">
        <v>19937</v>
      </c>
      <c r="R18" s="172">
        <v>0</v>
      </c>
      <c r="S18" s="157">
        <v>19937</v>
      </c>
      <c r="T18" s="157"/>
      <c r="U18" s="157">
        <v>19937</v>
      </c>
      <c r="V18" s="157"/>
      <c r="W18" s="157"/>
    </row>
    <row r="19" spans="1:23" x14ac:dyDescent="0.35">
      <c r="A19" s="155" t="s">
        <v>164</v>
      </c>
      <c r="B19" s="156"/>
      <c r="C19" s="165" t="s">
        <v>543</v>
      </c>
      <c r="D19" s="176">
        <v>43723</v>
      </c>
      <c r="E19" s="157"/>
      <c r="F19" s="157"/>
      <c r="G19" s="157"/>
      <c r="H19" s="157"/>
      <c r="I19" s="157"/>
      <c r="J19" s="166"/>
      <c r="K19" s="157" t="s">
        <v>544</v>
      </c>
      <c r="L19" s="176">
        <v>43723</v>
      </c>
      <c r="M19" s="157"/>
      <c r="N19" s="157"/>
      <c r="O19" s="157"/>
      <c r="P19" s="157"/>
      <c r="Q19" s="157" t="s">
        <v>543</v>
      </c>
      <c r="R19" s="178">
        <v>43070</v>
      </c>
      <c r="S19" s="157" t="s">
        <v>543</v>
      </c>
      <c r="T19" s="157"/>
      <c r="U19" s="157" t="s">
        <v>543</v>
      </c>
      <c r="V19" s="157"/>
      <c r="W19" s="157"/>
    </row>
    <row r="20" spans="1:23" ht="29" x14ac:dyDescent="0.35">
      <c r="A20" s="160" t="s">
        <v>165</v>
      </c>
      <c r="B20" s="167"/>
      <c r="C20" s="165"/>
      <c r="D20" s="162" t="s">
        <v>166</v>
      </c>
      <c r="E20" s="157"/>
      <c r="F20" s="157"/>
      <c r="G20" s="157"/>
      <c r="H20" s="157"/>
      <c r="I20" s="157"/>
      <c r="J20" s="157"/>
      <c r="K20" s="157"/>
      <c r="L20" s="162" t="s">
        <v>166</v>
      </c>
      <c r="M20" s="157"/>
      <c r="N20" s="157"/>
      <c r="O20" s="157"/>
      <c r="P20" s="157"/>
      <c r="Q20" s="157"/>
      <c r="R20" s="162" t="s">
        <v>166</v>
      </c>
      <c r="S20" s="157"/>
      <c r="T20" s="157"/>
      <c r="U20" s="157"/>
      <c r="V20" s="157"/>
      <c r="W20" s="157"/>
    </row>
    <row r="21" spans="1:23" x14ac:dyDescent="0.35">
      <c r="A21" s="225" t="s">
        <v>167</v>
      </c>
      <c r="B21" s="225"/>
      <c r="C21" s="225">
        <f>IFERROR(C18-C17,"")</f>
        <v>9186</v>
      </c>
      <c r="D21" s="225">
        <f t="shared" ref="D21:W21" si="1">IFERROR(D18-D17,"")</f>
        <v>-12999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0</v>
      </c>
      <c r="J21" s="225">
        <f t="shared" si="1"/>
        <v>0</v>
      </c>
      <c r="K21" s="225">
        <f t="shared" si="1"/>
        <v>9186</v>
      </c>
      <c r="L21" s="225">
        <f t="shared" si="1"/>
        <v>-12999</v>
      </c>
      <c r="M21" s="225">
        <f t="shared" si="1"/>
        <v>0</v>
      </c>
      <c r="N21" s="225">
        <f t="shared" si="1"/>
        <v>0</v>
      </c>
      <c r="O21" s="225">
        <f t="shared" si="1"/>
        <v>0</v>
      </c>
      <c r="P21" s="225">
        <f t="shared" si="1"/>
        <v>0</v>
      </c>
      <c r="Q21" s="225">
        <f t="shared" si="1"/>
        <v>9186</v>
      </c>
      <c r="R21" s="225">
        <f t="shared" si="1"/>
        <v>-5167</v>
      </c>
      <c r="S21" s="225">
        <f t="shared" si="1"/>
        <v>6938</v>
      </c>
      <c r="T21" s="225">
        <f t="shared" si="1"/>
        <v>0</v>
      </c>
      <c r="U21" s="225">
        <f t="shared" si="1"/>
        <v>9186</v>
      </c>
      <c r="V21" s="225">
        <f t="shared" si="1"/>
        <v>0</v>
      </c>
      <c r="W21" s="225">
        <f t="shared" si="1"/>
        <v>0</v>
      </c>
    </row>
    <row r="22" spans="1:23" ht="16.399999999999999" customHeight="1" x14ac:dyDescent="0.35">
      <c r="A22" s="65" t="s">
        <v>2</v>
      </c>
      <c r="B22" s="65"/>
      <c r="C22" s="65">
        <f>AVERAGE(C14,C21)</f>
        <v>9968.5</v>
      </c>
      <c r="D22" s="65">
        <f t="shared" ref="D22:W22" si="2">AVERAGE(D14,D21)</f>
        <v>0</v>
      </c>
      <c r="E22" s="65">
        <f t="shared" si="2"/>
        <v>5375.5</v>
      </c>
      <c r="F22" s="65">
        <f t="shared" si="2"/>
        <v>0</v>
      </c>
      <c r="G22" s="65">
        <f t="shared" si="2"/>
        <v>0</v>
      </c>
      <c r="H22" s="65">
        <f t="shared" si="2"/>
        <v>0</v>
      </c>
      <c r="I22" s="65">
        <f t="shared" si="2"/>
        <v>0</v>
      </c>
      <c r="J22" s="65">
        <f t="shared" si="2"/>
        <v>0</v>
      </c>
      <c r="K22" s="65">
        <f t="shared" si="2"/>
        <v>9968.5</v>
      </c>
      <c r="L22" s="65">
        <f t="shared" si="2"/>
        <v>0</v>
      </c>
      <c r="M22" s="65">
        <f t="shared" si="2"/>
        <v>9968.5</v>
      </c>
      <c r="N22" s="65">
        <f t="shared" si="2"/>
        <v>6499.5</v>
      </c>
      <c r="O22" s="65">
        <f t="shared" si="2"/>
        <v>9968.5</v>
      </c>
      <c r="P22" s="65">
        <f t="shared" si="2"/>
        <v>0</v>
      </c>
      <c r="Q22" s="65">
        <f t="shared" si="2"/>
        <v>9968.5</v>
      </c>
      <c r="R22" s="65">
        <f t="shared" si="2"/>
        <v>0</v>
      </c>
      <c r="S22" s="65">
        <f t="shared" si="2"/>
        <v>9968.5</v>
      </c>
      <c r="T22" s="65">
        <f t="shared" si="2"/>
        <v>6499.5</v>
      </c>
      <c r="U22" s="65">
        <f t="shared" si="2"/>
        <v>9968.5</v>
      </c>
      <c r="V22" s="65">
        <f t="shared" si="2"/>
        <v>0</v>
      </c>
      <c r="W22" s="65">
        <f t="shared" si="2"/>
        <v>0</v>
      </c>
    </row>
    <row r="23" spans="1:23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2">
        <v>43723</v>
      </c>
      <c r="M23" s="154"/>
      <c r="N23" s="152"/>
      <c r="O23" s="152"/>
      <c r="P23" s="154"/>
      <c r="Q23" s="168"/>
      <c r="R23" s="178">
        <v>43070</v>
      </c>
      <c r="S23" s="154"/>
      <c r="T23" s="154"/>
      <c r="U23" s="154"/>
      <c r="V23" s="154"/>
      <c r="W23" s="154"/>
    </row>
    <row r="24" spans="1:23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72">
        <v>0</v>
      </c>
      <c r="S24" s="157"/>
      <c r="T24" s="157"/>
      <c r="U24" s="157"/>
      <c r="V24" s="157"/>
      <c r="W24" s="157"/>
    </row>
    <row r="25" spans="1:23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>
        <v>19937</v>
      </c>
      <c r="M25" s="157"/>
      <c r="N25" s="157"/>
      <c r="O25" s="157"/>
      <c r="P25" s="157"/>
      <c r="Q25" s="157"/>
      <c r="R25" s="172">
        <v>10751</v>
      </c>
      <c r="S25" s="157"/>
      <c r="T25" s="157"/>
      <c r="U25" s="157"/>
      <c r="V25" s="157"/>
      <c r="W25" s="157"/>
    </row>
    <row r="26" spans="1:23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 t="s">
        <v>544</v>
      </c>
      <c r="M26" s="157"/>
      <c r="N26" s="157"/>
      <c r="O26" s="157"/>
      <c r="P26" s="157"/>
      <c r="Q26" s="157"/>
      <c r="R26" s="176">
        <v>43388</v>
      </c>
      <c r="S26" s="157"/>
      <c r="T26" s="157"/>
      <c r="U26" s="157"/>
      <c r="V26" s="157"/>
      <c r="W26" s="157"/>
    </row>
    <row r="27" spans="1:23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62" t="s">
        <v>166</v>
      </c>
      <c r="S27" s="157"/>
      <c r="T27" s="157"/>
      <c r="U27" s="157"/>
      <c r="V27" s="157"/>
      <c r="W27" s="157"/>
    </row>
    <row r="28" spans="1:23" x14ac:dyDescent="0.35">
      <c r="A28" s="225" t="s">
        <v>167</v>
      </c>
      <c r="B28" s="225"/>
      <c r="C28" s="225">
        <f>IFERROR(C25-C24,"")</f>
        <v>0</v>
      </c>
      <c r="D28" s="225">
        <f t="shared" ref="D28:W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19937</v>
      </c>
      <c r="M28" s="225">
        <f t="shared" si="3"/>
        <v>0</v>
      </c>
      <c r="N28" s="225">
        <f t="shared" si="3"/>
        <v>0</v>
      </c>
      <c r="O28" s="225">
        <f t="shared" si="3"/>
        <v>0</v>
      </c>
      <c r="P28" s="225">
        <f t="shared" si="3"/>
        <v>0</v>
      </c>
      <c r="Q28" s="225">
        <f t="shared" si="3"/>
        <v>0</v>
      </c>
      <c r="R28" s="225">
        <f t="shared" si="3"/>
        <v>10751</v>
      </c>
      <c r="S28" s="225">
        <f t="shared" si="3"/>
        <v>0</v>
      </c>
      <c r="T28" s="225">
        <f t="shared" si="3"/>
        <v>0</v>
      </c>
      <c r="U28" s="225">
        <f t="shared" si="3"/>
        <v>0</v>
      </c>
      <c r="V28" s="225">
        <f t="shared" si="3"/>
        <v>0</v>
      </c>
      <c r="W28" s="225">
        <f t="shared" si="3"/>
        <v>0</v>
      </c>
    </row>
    <row r="29" spans="1:23" ht="16.399999999999999" customHeight="1" x14ac:dyDescent="0.35">
      <c r="A29" s="65" t="s">
        <v>2</v>
      </c>
      <c r="B29" s="65"/>
      <c r="C29" s="65">
        <f>AVERAGE(C21,C28,C14)</f>
        <v>6645.666666666667</v>
      </c>
      <c r="D29" s="65">
        <f t="shared" ref="D29:W29" si="4">AVERAGE(D21,D28,D14)</f>
        <v>0</v>
      </c>
      <c r="E29" s="65">
        <f t="shared" si="4"/>
        <v>3583.6666666666665</v>
      </c>
      <c r="F29" s="65">
        <f t="shared" si="4"/>
        <v>0</v>
      </c>
      <c r="G29" s="65">
        <f t="shared" si="4"/>
        <v>0</v>
      </c>
      <c r="H29" s="65">
        <f t="shared" si="4"/>
        <v>0</v>
      </c>
      <c r="I29" s="65">
        <f t="shared" si="4"/>
        <v>0</v>
      </c>
      <c r="J29" s="65">
        <f t="shared" si="4"/>
        <v>0</v>
      </c>
      <c r="K29" s="65">
        <f t="shared" si="4"/>
        <v>6645.666666666667</v>
      </c>
      <c r="L29" s="65">
        <f t="shared" si="4"/>
        <v>6645.666666666667</v>
      </c>
      <c r="M29" s="65">
        <f t="shared" si="4"/>
        <v>6645.666666666667</v>
      </c>
      <c r="N29" s="65">
        <f t="shared" si="4"/>
        <v>4333</v>
      </c>
      <c r="O29" s="65">
        <f t="shared" si="4"/>
        <v>6645.666666666667</v>
      </c>
      <c r="P29" s="65">
        <f t="shared" si="4"/>
        <v>0</v>
      </c>
      <c r="Q29" s="65">
        <f t="shared" si="4"/>
        <v>6645.666666666667</v>
      </c>
      <c r="R29" s="65">
        <f t="shared" si="4"/>
        <v>3583.6666666666665</v>
      </c>
      <c r="S29" s="65">
        <f t="shared" si="4"/>
        <v>6645.666666666667</v>
      </c>
      <c r="T29" s="65">
        <f t="shared" si="4"/>
        <v>4333</v>
      </c>
      <c r="U29" s="65">
        <f t="shared" si="4"/>
        <v>6645.666666666667</v>
      </c>
      <c r="V29" s="65">
        <f t="shared" si="4"/>
        <v>0</v>
      </c>
      <c r="W29" s="65">
        <f t="shared" si="4"/>
        <v>0</v>
      </c>
    </row>
    <row r="30" spans="1:23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/>
      <c r="O30" s="152"/>
      <c r="P30" s="154"/>
      <c r="Q30" s="154"/>
      <c r="R30" s="176">
        <v>43388</v>
      </c>
      <c r="S30" s="154"/>
      <c r="T30" s="154"/>
      <c r="U30" s="154"/>
      <c r="V30" s="154"/>
      <c r="W30" s="154"/>
    </row>
    <row r="31" spans="1:23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72">
        <v>10751</v>
      </c>
      <c r="S31" s="157"/>
      <c r="T31" s="157"/>
      <c r="U31" s="157"/>
      <c r="V31" s="157"/>
      <c r="W31" s="157"/>
    </row>
    <row r="32" spans="1:23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72">
        <v>12999</v>
      </c>
      <c r="S32" s="157"/>
      <c r="T32" s="157"/>
      <c r="U32" s="157"/>
      <c r="V32" s="157"/>
      <c r="W32" s="157"/>
    </row>
    <row r="33" spans="1:23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57"/>
      <c r="Q33" s="157"/>
      <c r="R33" s="178">
        <v>43692</v>
      </c>
      <c r="S33" s="157"/>
      <c r="T33" s="157"/>
      <c r="U33" s="157"/>
      <c r="V33" s="157"/>
      <c r="W33" s="157"/>
    </row>
    <row r="34" spans="1:23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62" t="s">
        <v>166</v>
      </c>
      <c r="S34" s="157"/>
      <c r="T34" s="157"/>
      <c r="U34" s="157"/>
      <c r="V34" s="157"/>
      <c r="W34" s="157"/>
    </row>
    <row r="35" spans="1:23" x14ac:dyDescent="0.35">
      <c r="A35" s="225" t="s">
        <v>167</v>
      </c>
      <c r="B35" s="225"/>
      <c r="C35" s="225">
        <f>IFERROR(C32-C31,"")</f>
        <v>0</v>
      </c>
      <c r="D35" s="225">
        <f t="shared" ref="D35:W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0</v>
      </c>
      <c r="P35" s="225">
        <f t="shared" si="5"/>
        <v>0</v>
      </c>
      <c r="Q35" s="225">
        <f t="shared" si="5"/>
        <v>0</v>
      </c>
      <c r="R35" s="225">
        <f t="shared" si="5"/>
        <v>2248</v>
      </c>
      <c r="S35" s="225">
        <f t="shared" si="5"/>
        <v>0</v>
      </c>
      <c r="T35" s="225">
        <f t="shared" si="5"/>
        <v>0</v>
      </c>
      <c r="U35" s="225">
        <f t="shared" si="5"/>
        <v>0</v>
      </c>
      <c r="V35" s="225">
        <f t="shared" si="5"/>
        <v>0</v>
      </c>
      <c r="W35" s="225">
        <f t="shared" si="5"/>
        <v>0</v>
      </c>
    </row>
    <row r="36" spans="1:23" ht="16.399999999999999" customHeight="1" x14ac:dyDescent="0.35">
      <c r="A36" s="65" t="s">
        <v>2</v>
      </c>
      <c r="B36" s="65"/>
      <c r="C36" s="65">
        <f>AVERAGE(C28,C35,C21,C14)</f>
        <v>4984.25</v>
      </c>
      <c r="D36" s="65">
        <f t="shared" ref="D36:W36" si="6">AVERAGE(D28,D35,D21,D14)</f>
        <v>0</v>
      </c>
      <c r="E36" s="65">
        <f t="shared" si="6"/>
        <v>2687.75</v>
      </c>
      <c r="F36" s="65">
        <f t="shared" si="6"/>
        <v>0</v>
      </c>
      <c r="G36" s="65">
        <f t="shared" si="6"/>
        <v>0</v>
      </c>
      <c r="H36" s="65">
        <f t="shared" si="6"/>
        <v>0</v>
      </c>
      <c r="I36" s="65">
        <f t="shared" si="6"/>
        <v>0</v>
      </c>
      <c r="J36" s="65">
        <f t="shared" si="6"/>
        <v>0</v>
      </c>
      <c r="K36" s="65">
        <f t="shared" si="6"/>
        <v>4984.25</v>
      </c>
      <c r="L36" s="65">
        <f t="shared" si="6"/>
        <v>4984.25</v>
      </c>
      <c r="M36" s="65">
        <f t="shared" si="6"/>
        <v>4984.25</v>
      </c>
      <c r="N36" s="65">
        <f t="shared" si="6"/>
        <v>3249.75</v>
      </c>
      <c r="O36" s="65">
        <f t="shared" si="6"/>
        <v>4984.25</v>
      </c>
      <c r="P36" s="65">
        <f t="shared" si="6"/>
        <v>0</v>
      </c>
      <c r="Q36" s="65">
        <f t="shared" si="6"/>
        <v>4984.25</v>
      </c>
      <c r="R36" s="65">
        <f t="shared" si="6"/>
        <v>3249.75</v>
      </c>
      <c r="S36" s="65">
        <f t="shared" si="6"/>
        <v>4984.25</v>
      </c>
      <c r="T36" s="65">
        <f t="shared" si="6"/>
        <v>3249.75</v>
      </c>
      <c r="U36" s="65">
        <f t="shared" si="6"/>
        <v>4984.25</v>
      </c>
      <c r="V36" s="65">
        <f t="shared" si="6"/>
        <v>0</v>
      </c>
      <c r="W36" s="65">
        <f t="shared" si="6"/>
        <v>0</v>
      </c>
    </row>
    <row r="37" spans="1:23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52"/>
      <c r="P37" s="154"/>
      <c r="Q37" s="154"/>
      <c r="R37" s="152">
        <v>43692</v>
      </c>
      <c r="S37" s="154"/>
      <c r="T37" s="154"/>
      <c r="U37" s="154"/>
      <c r="V37" s="154"/>
      <c r="W37" s="154"/>
    </row>
    <row r="38" spans="1:23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>
        <v>12999</v>
      </c>
      <c r="S38" s="157"/>
      <c r="T38" s="157"/>
      <c r="U38" s="157"/>
      <c r="V38" s="157"/>
      <c r="W38" s="157"/>
    </row>
    <row r="39" spans="1:23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>
        <v>19937</v>
      </c>
      <c r="S39" s="157"/>
      <c r="T39" s="157"/>
      <c r="U39" s="157"/>
      <c r="V39" s="157"/>
      <c r="W39" s="157"/>
    </row>
    <row r="40" spans="1:23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  <c r="Q40" s="157"/>
      <c r="R40" s="157" t="s">
        <v>543</v>
      </c>
      <c r="S40" s="157"/>
      <c r="T40" s="157"/>
      <c r="U40" s="157"/>
      <c r="V40" s="157"/>
      <c r="W40" s="157"/>
    </row>
    <row r="41" spans="1:23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</row>
    <row r="42" spans="1:23" x14ac:dyDescent="0.35">
      <c r="A42" s="225" t="s">
        <v>167</v>
      </c>
      <c r="B42" s="225"/>
      <c r="C42" s="225">
        <f>IFERROR(C39-C38,"")</f>
        <v>0</v>
      </c>
      <c r="D42" s="225">
        <f t="shared" ref="D42:W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0</v>
      </c>
      <c r="P42" s="225">
        <f t="shared" si="7"/>
        <v>0</v>
      </c>
      <c r="Q42" s="225">
        <f t="shared" si="7"/>
        <v>0</v>
      </c>
      <c r="R42" s="225">
        <f t="shared" si="7"/>
        <v>6938</v>
      </c>
      <c r="S42" s="225">
        <f t="shared" si="7"/>
        <v>0</v>
      </c>
      <c r="T42" s="225">
        <f t="shared" si="7"/>
        <v>0</v>
      </c>
      <c r="U42" s="225">
        <f t="shared" si="7"/>
        <v>0</v>
      </c>
      <c r="V42" s="225">
        <f t="shared" si="7"/>
        <v>0</v>
      </c>
      <c r="W42" s="225">
        <f t="shared" si="7"/>
        <v>0</v>
      </c>
    </row>
    <row r="43" spans="1:23" ht="16.399999999999999" customHeight="1" x14ac:dyDescent="0.35">
      <c r="A43" s="65" t="s">
        <v>2</v>
      </c>
      <c r="B43" s="65"/>
      <c r="C43" s="65">
        <f>AVERAGE(C35,C42,C28,C21,C14)</f>
        <v>3987.4</v>
      </c>
      <c r="D43" s="65">
        <f t="shared" ref="D43:W43" si="8">AVERAGE(D35,D42,D28,D21,D14)</f>
        <v>0</v>
      </c>
      <c r="E43" s="65">
        <f t="shared" si="8"/>
        <v>2150.1999999999998</v>
      </c>
      <c r="F43" s="65">
        <f t="shared" si="8"/>
        <v>0</v>
      </c>
      <c r="G43" s="65">
        <f t="shared" si="8"/>
        <v>0</v>
      </c>
      <c r="H43" s="65">
        <f t="shared" si="8"/>
        <v>0</v>
      </c>
      <c r="I43" s="65">
        <f t="shared" si="8"/>
        <v>0</v>
      </c>
      <c r="J43" s="65">
        <f t="shared" si="8"/>
        <v>0</v>
      </c>
      <c r="K43" s="65">
        <f t="shared" si="8"/>
        <v>3987.4</v>
      </c>
      <c r="L43" s="65">
        <f t="shared" si="8"/>
        <v>3987.4</v>
      </c>
      <c r="M43" s="65">
        <f t="shared" si="8"/>
        <v>3987.4</v>
      </c>
      <c r="N43" s="65">
        <f t="shared" si="8"/>
        <v>2599.8000000000002</v>
      </c>
      <c r="O43" s="65">
        <f t="shared" si="8"/>
        <v>3987.4</v>
      </c>
      <c r="P43" s="65">
        <f t="shared" si="8"/>
        <v>0</v>
      </c>
      <c r="Q43" s="65">
        <f t="shared" si="8"/>
        <v>3987.4</v>
      </c>
      <c r="R43" s="65">
        <f t="shared" si="8"/>
        <v>3987.4</v>
      </c>
      <c r="S43" s="65">
        <f t="shared" si="8"/>
        <v>3987.4</v>
      </c>
      <c r="T43" s="65">
        <f t="shared" si="8"/>
        <v>2599.8000000000002</v>
      </c>
      <c r="U43" s="65">
        <f t="shared" si="8"/>
        <v>3987.4</v>
      </c>
      <c r="V43" s="65">
        <f t="shared" si="8"/>
        <v>0</v>
      </c>
      <c r="W43" s="65">
        <f t="shared" si="8"/>
        <v>0</v>
      </c>
    </row>
    <row r="44" spans="1:23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/>
      <c r="P44" s="154"/>
      <c r="Q44" s="154"/>
      <c r="R44" s="154"/>
      <c r="S44" s="154"/>
      <c r="T44" s="154"/>
      <c r="U44" s="154"/>
      <c r="V44" s="154"/>
      <c r="W44" s="154"/>
    </row>
    <row r="45" spans="1:23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</row>
    <row r="46" spans="1:23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</row>
    <row r="47" spans="1:23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</row>
    <row r="48" spans="1:23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</row>
    <row r="49" spans="1:23" x14ac:dyDescent="0.35">
      <c r="A49" s="225" t="s">
        <v>167</v>
      </c>
      <c r="B49" s="225"/>
      <c r="C49" s="225">
        <f>IFERROR(C46-C45,"")</f>
        <v>0</v>
      </c>
      <c r="D49" s="225">
        <f t="shared" ref="D49:W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  <c r="V49" s="225">
        <f t="shared" si="9"/>
        <v>0</v>
      </c>
      <c r="W49" s="225">
        <f t="shared" si="9"/>
        <v>0</v>
      </c>
    </row>
    <row r="50" spans="1:23" ht="16.399999999999999" customHeight="1" x14ac:dyDescent="0.35">
      <c r="A50" s="65" t="s">
        <v>2</v>
      </c>
      <c r="B50" s="65"/>
      <c r="C50" s="65">
        <f>AVERAGE(C42,C49,C35,C28,C21,C14)</f>
        <v>3322.8333333333335</v>
      </c>
      <c r="D50" s="65">
        <f t="shared" ref="D50:W50" si="10">AVERAGE(D42,D49,D35,D28,D21,D14)</f>
        <v>0</v>
      </c>
      <c r="E50" s="65">
        <f t="shared" si="10"/>
        <v>1791.8333333333333</v>
      </c>
      <c r="F50" s="65">
        <f t="shared" si="10"/>
        <v>0</v>
      </c>
      <c r="G50" s="65">
        <f t="shared" si="10"/>
        <v>0</v>
      </c>
      <c r="H50" s="65">
        <f t="shared" si="10"/>
        <v>0</v>
      </c>
      <c r="I50" s="65">
        <f t="shared" si="10"/>
        <v>0</v>
      </c>
      <c r="J50" s="65">
        <f t="shared" si="10"/>
        <v>0</v>
      </c>
      <c r="K50" s="65">
        <f t="shared" si="10"/>
        <v>3322.8333333333335</v>
      </c>
      <c r="L50" s="65">
        <f t="shared" si="10"/>
        <v>3322.8333333333335</v>
      </c>
      <c r="M50" s="65">
        <f t="shared" si="10"/>
        <v>3322.8333333333335</v>
      </c>
      <c r="N50" s="65">
        <f t="shared" si="10"/>
        <v>2166.5</v>
      </c>
      <c r="O50" s="65">
        <f t="shared" si="10"/>
        <v>3322.8333333333335</v>
      </c>
      <c r="P50" s="65">
        <f t="shared" si="10"/>
        <v>0</v>
      </c>
      <c r="Q50" s="65">
        <f t="shared" si="10"/>
        <v>3322.8333333333335</v>
      </c>
      <c r="R50" s="65">
        <f t="shared" si="10"/>
        <v>3322.8333333333335</v>
      </c>
      <c r="S50" s="65">
        <f t="shared" si="10"/>
        <v>3322.8333333333335</v>
      </c>
      <c r="T50" s="65">
        <f t="shared" si="10"/>
        <v>2166.5</v>
      </c>
      <c r="U50" s="65">
        <f t="shared" si="10"/>
        <v>3322.8333333333335</v>
      </c>
      <c r="V50" s="65">
        <f t="shared" si="10"/>
        <v>0</v>
      </c>
      <c r="W50" s="65">
        <f t="shared" si="10"/>
        <v>0</v>
      </c>
    </row>
    <row r="51" spans="1:23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/>
      <c r="P51" s="154"/>
      <c r="Q51" s="154"/>
      <c r="R51" s="154"/>
      <c r="S51" s="154"/>
      <c r="T51" s="154"/>
      <c r="U51" s="154"/>
      <c r="V51" s="154"/>
      <c r="W51" s="154"/>
    </row>
    <row r="52" spans="1:23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</row>
    <row r="53" spans="1:23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</row>
    <row r="54" spans="1:23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</row>
    <row r="55" spans="1:23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</row>
    <row r="56" spans="1:23" x14ac:dyDescent="0.35">
      <c r="A56" s="225" t="s">
        <v>167</v>
      </c>
      <c r="B56" s="225"/>
      <c r="C56" s="225">
        <f>IFERROR(C53-C52,"")</f>
        <v>0</v>
      </c>
      <c r="D56" s="225">
        <f t="shared" ref="D56:W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0</v>
      </c>
      <c r="P56" s="225">
        <f t="shared" si="11"/>
        <v>0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  <c r="V56" s="225">
        <f t="shared" si="11"/>
        <v>0</v>
      </c>
      <c r="W56" s="225">
        <f t="shared" si="11"/>
        <v>0</v>
      </c>
    </row>
    <row r="57" spans="1:23" ht="16.399999999999999" customHeight="1" x14ac:dyDescent="0.35">
      <c r="A57" s="65" t="s">
        <v>2</v>
      </c>
      <c r="B57" s="65"/>
      <c r="C57" s="65">
        <f>AVERAGE(C49,C56,C42,C35,C28,C21,C14)</f>
        <v>2848.1428571428573</v>
      </c>
      <c r="D57" s="65">
        <f t="shared" ref="D57:W57" si="12">AVERAGE(D49,D56,D42,D35,D28,D21,D14)</f>
        <v>0</v>
      </c>
      <c r="E57" s="65">
        <f t="shared" si="12"/>
        <v>1535.8571428571429</v>
      </c>
      <c r="F57" s="65">
        <f t="shared" si="12"/>
        <v>0</v>
      </c>
      <c r="G57" s="65">
        <f t="shared" si="12"/>
        <v>0</v>
      </c>
      <c r="H57" s="65">
        <f t="shared" si="12"/>
        <v>0</v>
      </c>
      <c r="I57" s="65">
        <f t="shared" si="12"/>
        <v>0</v>
      </c>
      <c r="J57" s="65">
        <f t="shared" si="12"/>
        <v>0</v>
      </c>
      <c r="K57" s="65">
        <f t="shared" si="12"/>
        <v>2848.1428571428573</v>
      </c>
      <c r="L57" s="65">
        <f t="shared" si="12"/>
        <v>2848.1428571428573</v>
      </c>
      <c r="M57" s="65">
        <f t="shared" si="12"/>
        <v>2848.1428571428573</v>
      </c>
      <c r="N57" s="65">
        <f t="shared" si="12"/>
        <v>1857</v>
      </c>
      <c r="O57" s="65">
        <f t="shared" si="12"/>
        <v>2848.1428571428573</v>
      </c>
      <c r="P57" s="65">
        <f t="shared" si="12"/>
        <v>0</v>
      </c>
      <c r="Q57" s="65">
        <f t="shared" si="12"/>
        <v>2848.1428571428573</v>
      </c>
      <c r="R57" s="65">
        <f t="shared" si="12"/>
        <v>2848.1428571428573</v>
      </c>
      <c r="S57" s="65">
        <f t="shared" si="12"/>
        <v>2848.1428571428573</v>
      </c>
      <c r="T57" s="65">
        <f t="shared" si="12"/>
        <v>1857</v>
      </c>
      <c r="U57" s="65">
        <f t="shared" si="12"/>
        <v>2848.1428571428573</v>
      </c>
      <c r="V57" s="65">
        <f t="shared" si="12"/>
        <v>0</v>
      </c>
      <c r="W57" s="65">
        <f t="shared" si="12"/>
        <v>0</v>
      </c>
    </row>
    <row r="58" spans="1:23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/>
      <c r="P58" s="154"/>
      <c r="Q58" s="154"/>
      <c r="R58" s="154"/>
      <c r="S58" s="154"/>
      <c r="T58" s="154"/>
      <c r="U58" s="154"/>
      <c r="V58" s="154"/>
      <c r="W58" s="154"/>
    </row>
    <row r="59" spans="1:23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</row>
    <row r="60" spans="1:23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</row>
    <row r="61" spans="1:23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</row>
    <row r="62" spans="1:23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</row>
    <row r="63" spans="1:23" x14ac:dyDescent="0.35">
      <c r="A63" s="225" t="s">
        <v>167</v>
      </c>
      <c r="B63" s="225"/>
      <c r="C63" s="225">
        <f>IFERROR(C60-C59,"")</f>
        <v>0</v>
      </c>
      <c r="D63" s="225">
        <f t="shared" ref="D63:W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  <c r="V63" s="225">
        <f t="shared" si="13"/>
        <v>0</v>
      </c>
      <c r="W63" s="225">
        <f t="shared" si="13"/>
        <v>0</v>
      </c>
    </row>
    <row r="64" spans="1:23" ht="16.399999999999999" customHeight="1" x14ac:dyDescent="0.35">
      <c r="A64" s="65" t="s">
        <v>2</v>
      </c>
      <c r="B64" s="65"/>
      <c r="C64" s="65">
        <f>AVERAGE(C56,C63,C49,C42,C35,C28,C21,C14)</f>
        <v>2492.125</v>
      </c>
      <c r="D64" s="65">
        <f t="shared" ref="D64:W64" si="14">AVERAGE(D56,D63,D49,D42,D35,D28,D21,D14)</f>
        <v>0</v>
      </c>
      <c r="E64" s="65">
        <f t="shared" si="14"/>
        <v>1343.875</v>
      </c>
      <c r="F64" s="65">
        <f t="shared" si="14"/>
        <v>0</v>
      </c>
      <c r="G64" s="65">
        <f t="shared" si="14"/>
        <v>0</v>
      </c>
      <c r="H64" s="65">
        <f t="shared" si="14"/>
        <v>0</v>
      </c>
      <c r="I64" s="65">
        <f t="shared" si="14"/>
        <v>0</v>
      </c>
      <c r="J64" s="65">
        <f t="shared" si="14"/>
        <v>0</v>
      </c>
      <c r="K64" s="65">
        <f t="shared" si="14"/>
        <v>2492.125</v>
      </c>
      <c r="L64" s="65">
        <f t="shared" si="14"/>
        <v>2492.125</v>
      </c>
      <c r="M64" s="65">
        <f t="shared" si="14"/>
        <v>2492.125</v>
      </c>
      <c r="N64" s="65">
        <f t="shared" si="14"/>
        <v>1624.875</v>
      </c>
      <c r="O64" s="65">
        <f t="shared" si="14"/>
        <v>2492.125</v>
      </c>
      <c r="P64" s="65">
        <f t="shared" si="14"/>
        <v>0</v>
      </c>
      <c r="Q64" s="65">
        <f t="shared" si="14"/>
        <v>2492.125</v>
      </c>
      <c r="R64" s="65">
        <f t="shared" si="14"/>
        <v>2492.125</v>
      </c>
      <c r="S64" s="65">
        <f t="shared" si="14"/>
        <v>2492.125</v>
      </c>
      <c r="T64" s="65">
        <f t="shared" si="14"/>
        <v>1624.875</v>
      </c>
      <c r="U64" s="65">
        <f t="shared" si="14"/>
        <v>2492.125</v>
      </c>
      <c r="V64" s="65">
        <f t="shared" si="14"/>
        <v>0</v>
      </c>
      <c r="W64" s="65">
        <f t="shared" si="14"/>
        <v>0</v>
      </c>
    </row>
  </sheetData>
  <sheetProtection algorithmName="SHA-512" hashValue="GEyjjehbKHzUL9hUVmlAkQstALhqJ2PLNUwSrOcmdkfvcFS7HSahngdwTG0ua8ZQrMvbdTNgUuj5XYKWSsgG8A==" saltValue="GvftUtGaw//q1tuutZDrsw==" spinCount="100000" sheet="1" objects="1" scenarios="1"/>
  <mergeCells count="2">
    <mergeCell ref="A7:B7"/>
    <mergeCell ref="A8:B8"/>
  </mergeCells>
  <conditionalFormatting sqref="C15 F15:W15">
    <cfRule type="expression" dxfId="195" priority="55">
      <formula>C15&lt;#REF!</formula>
    </cfRule>
    <cfRule type="expression" dxfId="194" priority="56">
      <formula>C15&gt;#REF!</formula>
    </cfRule>
  </conditionalFormatting>
  <conditionalFormatting sqref="D15">
    <cfRule type="expression" dxfId="193" priority="57">
      <formula>D15&lt;#REF!</formula>
    </cfRule>
    <cfRule type="expression" dxfId="192" priority="58">
      <formula>D15&gt;#REF!</formula>
    </cfRule>
  </conditionalFormatting>
  <conditionalFormatting sqref="E15">
    <cfRule type="expression" dxfId="191" priority="59" stopIfTrue="1">
      <formula>E15&lt;#REF!</formula>
    </cfRule>
    <cfRule type="expression" dxfId="190" priority="60" stopIfTrue="1">
      <formula>E15&gt;#REF!</formula>
    </cfRule>
  </conditionalFormatting>
  <conditionalFormatting sqref="C22:W22">
    <cfRule type="expression" dxfId="189" priority="49">
      <formula>C22&lt;#REF!</formula>
    </cfRule>
    <cfRule type="expression" dxfId="188" priority="50">
      <formula>C22&gt;#REF!</formula>
    </cfRule>
  </conditionalFormatting>
  <conditionalFormatting sqref="D22">
    <cfRule type="expression" dxfId="187" priority="51">
      <formula>D22&lt;#REF!</formula>
    </cfRule>
    <cfRule type="expression" dxfId="186" priority="52">
      <formula>D22&gt;#REF!</formula>
    </cfRule>
  </conditionalFormatting>
  <conditionalFormatting sqref="E22">
    <cfRule type="expression" dxfId="185" priority="53" stopIfTrue="1">
      <formula>E22&lt;#REF!</formula>
    </cfRule>
    <cfRule type="expression" dxfId="184" priority="54" stopIfTrue="1">
      <formula>E22&gt;#REF!</formula>
    </cfRule>
  </conditionalFormatting>
  <conditionalFormatting sqref="F29:W29">
    <cfRule type="expression" dxfId="183" priority="43">
      <formula>F29&lt;#REF!</formula>
    </cfRule>
    <cfRule type="expression" dxfId="182" priority="44">
      <formula>F29&gt;#REF!</formula>
    </cfRule>
  </conditionalFormatting>
  <conditionalFormatting sqref="D29">
    <cfRule type="expression" dxfId="181" priority="45">
      <formula>D29&lt;#REF!</formula>
    </cfRule>
    <cfRule type="expression" dxfId="180" priority="46">
      <formula>D29&gt;#REF!</formula>
    </cfRule>
  </conditionalFormatting>
  <conditionalFormatting sqref="E29">
    <cfRule type="expression" dxfId="179" priority="47" stopIfTrue="1">
      <formula>E29&lt;#REF!</formula>
    </cfRule>
    <cfRule type="expression" dxfId="178" priority="48" stopIfTrue="1">
      <formula>E29&gt;#REF!</formula>
    </cfRule>
  </conditionalFormatting>
  <conditionalFormatting sqref="F36:W36">
    <cfRule type="expression" dxfId="177" priority="37">
      <formula>F36&lt;#REF!</formula>
    </cfRule>
    <cfRule type="expression" dxfId="176" priority="38">
      <formula>F36&gt;#REF!</formula>
    </cfRule>
  </conditionalFormatting>
  <conditionalFormatting sqref="D36">
    <cfRule type="expression" dxfId="175" priority="39">
      <formula>D36&lt;#REF!</formula>
    </cfRule>
    <cfRule type="expression" dxfId="174" priority="40">
      <formula>D36&gt;#REF!</formula>
    </cfRule>
  </conditionalFormatting>
  <conditionalFormatting sqref="E36">
    <cfRule type="expression" dxfId="173" priority="41" stopIfTrue="1">
      <formula>E36&lt;#REF!</formula>
    </cfRule>
    <cfRule type="expression" dxfId="172" priority="42" stopIfTrue="1">
      <formula>E36&gt;#REF!</formula>
    </cfRule>
  </conditionalFormatting>
  <conditionalFormatting sqref="F43:W43">
    <cfRule type="expression" dxfId="171" priority="31">
      <formula>F43&lt;#REF!</formula>
    </cfRule>
    <cfRule type="expression" dxfId="170" priority="32">
      <formula>F43&gt;#REF!</formula>
    </cfRule>
  </conditionalFormatting>
  <conditionalFormatting sqref="D43">
    <cfRule type="expression" dxfId="169" priority="33">
      <formula>D43&lt;#REF!</formula>
    </cfRule>
    <cfRule type="expression" dxfId="168" priority="34">
      <formula>D43&gt;#REF!</formula>
    </cfRule>
  </conditionalFormatting>
  <conditionalFormatting sqref="E43">
    <cfRule type="expression" dxfId="167" priority="35" stopIfTrue="1">
      <formula>E43&lt;#REF!</formula>
    </cfRule>
    <cfRule type="expression" dxfId="166" priority="36" stopIfTrue="1">
      <formula>E43&gt;#REF!</formula>
    </cfRule>
  </conditionalFormatting>
  <conditionalFormatting sqref="F50:W50">
    <cfRule type="expression" dxfId="165" priority="25">
      <formula>F50&lt;#REF!</formula>
    </cfRule>
    <cfRule type="expression" dxfId="164" priority="26">
      <formula>F50&gt;#REF!</formula>
    </cfRule>
  </conditionalFormatting>
  <conditionalFormatting sqref="D50">
    <cfRule type="expression" dxfId="163" priority="27">
      <formula>D50&lt;#REF!</formula>
    </cfRule>
    <cfRule type="expression" dxfId="162" priority="28">
      <formula>D50&gt;#REF!</formula>
    </cfRule>
  </conditionalFormatting>
  <conditionalFormatting sqref="E50">
    <cfRule type="expression" dxfId="161" priority="29" stopIfTrue="1">
      <formula>E50&lt;#REF!</formula>
    </cfRule>
    <cfRule type="expression" dxfId="160" priority="30" stopIfTrue="1">
      <formula>E50&gt;#REF!</formula>
    </cfRule>
  </conditionalFormatting>
  <conditionalFormatting sqref="F57:W57">
    <cfRule type="expression" dxfId="159" priority="19">
      <formula>F57&lt;#REF!</formula>
    </cfRule>
    <cfRule type="expression" dxfId="158" priority="20">
      <formula>F57&gt;#REF!</formula>
    </cfRule>
  </conditionalFormatting>
  <conditionalFormatting sqref="D57">
    <cfRule type="expression" dxfId="157" priority="21">
      <formula>D57&lt;#REF!</formula>
    </cfRule>
    <cfRule type="expression" dxfId="156" priority="22">
      <formula>D57&gt;#REF!</formula>
    </cfRule>
  </conditionalFormatting>
  <conditionalFormatting sqref="E57">
    <cfRule type="expression" dxfId="155" priority="23" stopIfTrue="1">
      <formula>E57&lt;#REF!</formula>
    </cfRule>
    <cfRule type="expression" dxfId="154" priority="24" stopIfTrue="1">
      <formula>E57&gt;#REF!</formula>
    </cfRule>
  </conditionalFormatting>
  <conditionalFormatting sqref="F64:W64">
    <cfRule type="expression" dxfId="153" priority="13">
      <formula>F64&lt;#REF!</formula>
    </cfRule>
    <cfRule type="expression" dxfId="152" priority="14">
      <formula>F64&gt;#REF!</formula>
    </cfRule>
  </conditionalFormatting>
  <conditionalFormatting sqref="D64">
    <cfRule type="expression" dxfId="151" priority="15">
      <formula>D64&lt;#REF!</formula>
    </cfRule>
    <cfRule type="expression" dxfId="150" priority="16">
      <formula>D64&gt;#REF!</formula>
    </cfRule>
  </conditionalFormatting>
  <conditionalFormatting sqref="E64">
    <cfRule type="expression" dxfId="149" priority="17" stopIfTrue="1">
      <formula>E64&lt;#REF!</formula>
    </cfRule>
    <cfRule type="expression" dxfId="148" priority="18" stopIfTrue="1">
      <formula>E64&gt;#REF!</formula>
    </cfRule>
  </conditionalFormatting>
  <conditionalFormatting sqref="C29:W29">
    <cfRule type="expression" dxfId="147" priority="11">
      <formula>C29&lt;#REF!</formula>
    </cfRule>
    <cfRule type="expression" dxfId="146" priority="12">
      <formula>C29&gt;#REF!</formula>
    </cfRule>
  </conditionalFormatting>
  <conditionalFormatting sqref="C36:W36">
    <cfRule type="expression" dxfId="145" priority="9">
      <formula>C36&lt;#REF!</formula>
    </cfRule>
    <cfRule type="expression" dxfId="144" priority="10">
      <formula>C36&gt;#REF!</formula>
    </cfRule>
  </conditionalFormatting>
  <conditionalFormatting sqref="C64:W64">
    <cfRule type="expression" dxfId="143" priority="1">
      <formula>C64&lt;#REF!</formula>
    </cfRule>
    <cfRule type="expression" dxfId="142" priority="2">
      <formula>C64&gt;#REF!</formula>
    </cfRule>
  </conditionalFormatting>
  <conditionalFormatting sqref="C43:W43">
    <cfRule type="expression" dxfId="141" priority="7">
      <formula>C43&lt;#REF!</formula>
    </cfRule>
    <cfRule type="expression" dxfId="140" priority="8">
      <formula>C43&gt;#REF!</formula>
    </cfRule>
  </conditionalFormatting>
  <conditionalFormatting sqref="C50:W50">
    <cfRule type="expression" dxfId="139" priority="5">
      <formula>C50&lt;#REF!</formula>
    </cfRule>
    <cfRule type="expression" dxfId="138" priority="6">
      <formula>C50&gt;#REF!</formula>
    </cfRule>
  </conditionalFormatting>
  <conditionalFormatting sqref="C57:W57">
    <cfRule type="expression" dxfId="137" priority="3">
      <formula>C57&lt;#REF!</formula>
    </cfRule>
    <cfRule type="expression" dxfId="136" priority="4">
      <formula>C57&gt;#REF!</formula>
    </cfRule>
  </conditionalFormatting>
  <pageMargins left="0.7" right="0.7" top="0.75" bottom="0.75" header="0.3" footer="0.3"/>
  <pageSetup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2"/>
  <dimension ref="A1:X64"/>
  <sheetViews>
    <sheetView zoomScale="60" workbookViewId="0">
      <selection activeCell="A12" sqref="A12"/>
    </sheetView>
  </sheetViews>
  <sheetFormatPr defaultColWidth="8.81640625" defaultRowHeight="14.5" x14ac:dyDescent="0.35"/>
  <cols>
    <col min="1" max="1" width="16.81640625" bestFit="1" customWidth="1"/>
    <col min="2" max="2" width="6.1796875" customWidth="1"/>
    <col min="3" max="3" width="21.54296875" bestFit="1" customWidth="1"/>
    <col min="4" max="4" width="18.1796875" customWidth="1"/>
    <col min="5" max="5" width="2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0" width="18.54296875" customWidth="1"/>
    <col min="11" max="11" width="18.81640625" customWidth="1"/>
    <col min="12" max="12" width="17.1796875" bestFit="1" customWidth="1"/>
    <col min="13" max="13" width="19.453125" customWidth="1"/>
    <col min="14" max="14" width="16.81640625" customWidth="1"/>
    <col min="15" max="15" width="18.81640625" customWidth="1"/>
    <col min="16" max="16" width="18.54296875" customWidth="1"/>
    <col min="17" max="17" width="17.1796875" bestFit="1" customWidth="1"/>
    <col min="18" max="18" width="18.81640625" customWidth="1"/>
    <col min="19" max="19" width="21.81640625" customWidth="1"/>
    <col min="20" max="20" width="17.1796875" bestFit="1" customWidth="1"/>
    <col min="21" max="21" width="23.1796875" customWidth="1"/>
    <col min="22" max="23" width="17.1796875" bestFit="1" customWidth="1"/>
    <col min="24" max="24" width="18" customWidth="1"/>
  </cols>
  <sheetData>
    <row r="1" spans="1:24" ht="15" thickBot="1" x14ac:dyDescent="0.4"/>
    <row r="2" spans="1:24" x14ac:dyDescent="0.35">
      <c r="E2" s="130" t="s">
        <v>503</v>
      </c>
      <c r="F2" s="131"/>
      <c r="G2" s="131" t="s">
        <v>104</v>
      </c>
      <c r="H2" s="131"/>
      <c r="I2" s="132"/>
    </row>
    <row r="3" spans="1:24" x14ac:dyDescent="0.35">
      <c r="E3" s="133"/>
      <c r="F3" s="134" t="s">
        <v>504</v>
      </c>
      <c r="G3" s="135"/>
      <c r="H3" s="134"/>
      <c r="I3" s="136"/>
    </row>
    <row r="4" spans="1:24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24" ht="30.65" customHeight="1" x14ac:dyDescent="0.35">
      <c r="A5" s="141" t="s">
        <v>545</v>
      </c>
      <c r="B5" s="170" t="s">
        <v>546</v>
      </c>
    </row>
    <row r="6" spans="1:24" ht="28.4" customHeight="1" x14ac:dyDescent="0.35">
      <c r="A6" s="142" t="s">
        <v>200</v>
      </c>
      <c r="B6" s="169"/>
      <c r="C6" s="142" t="s">
        <v>507</v>
      </c>
      <c r="D6" s="142" t="s">
        <v>539</v>
      </c>
      <c r="E6" s="142" t="s">
        <v>509</v>
      </c>
      <c r="F6" s="142" t="s">
        <v>510</v>
      </c>
      <c r="G6" s="143" t="s">
        <v>511</v>
      </c>
      <c r="H6" s="143" t="s">
        <v>512</v>
      </c>
      <c r="I6" s="143" t="s">
        <v>513</v>
      </c>
      <c r="J6" s="142" t="s">
        <v>514</v>
      </c>
      <c r="K6" s="142" t="s">
        <v>515</v>
      </c>
      <c r="L6" s="142" t="s">
        <v>516</v>
      </c>
      <c r="M6" s="142" t="s">
        <v>517</v>
      </c>
      <c r="N6" s="142" t="s">
        <v>518</v>
      </c>
      <c r="O6" s="142" t="s">
        <v>519</v>
      </c>
      <c r="P6" s="142" t="s">
        <v>520</v>
      </c>
      <c r="Q6" s="144" t="s">
        <v>521</v>
      </c>
      <c r="R6" s="144" t="s">
        <v>522</v>
      </c>
      <c r="S6" s="142" t="s">
        <v>523</v>
      </c>
      <c r="T6" s="142" t="s">
        <v>524</v>
      </c>
      <c r="U6" s="142" t="s">
        <v>525</v>
      </c>
      <c r="V6" s="142" t="s">
        <v>526</v>
      </c>
      <c r="W6" s="142" t="s">
        <v>527</v>
      </c>
      <c r="X6" s="142" t="s">
        <v>528</v>
      </c>
    </row>
    <row r="7" spans="1:24" x14ac:dyDescent="0.35">
      <c r="A7" s="252" t="s">
        <v>137</v>
      </c>
      <c r="B7" s="252"/>
      <c r="C7" s="145" t="s">
        <v>286</v>
      </c>
      <c r="D7" s="145" t="s">
        <v>529</v>
      </c>
      <c r="E7" s="145" t="s">
        <v>141</v>
      </c>
      <c r="F7" s="145" t="s">
        <v>287</v>
      </c>
      <c r="G7" s="145" t="s">
        <v>215</v>
      </c>
      <c r="H7" s="145" t="s">
        <v>142</v>
      </c>
      <c r="I7" s="145" t="s">
        <v>143</v>
      </c>
      <c r="J7" s="145" t="s">
        <v>320</v>
      </c>
      <c r="K7" s="145" t="s">
        <v>288</v>
      </c>
      <c r="L7" s="145" t="s">
        <v>144</v>
      </c>
      <c r="M7" s="145" t="s">
        <v>145</v>
      </c>
      <c r="N7" s="145" t="s">
        <v>146</v>
      </c>
      <c r="O7" s="145" t="s">
        <v>530</v>
      </c>
      <c r="P7" s="145" t="s">
        <v>147</v>
      </c>
      <c r="Q7" s="145" t="s">
        <v>148</v>
      </c>
      <c r="R7" s="145" t="s">
        <v>149</v>
      </c>
      <c r="S7" s="145" t="s">
        <v>150</v>
      </c>
      <c r="T7" s="145" t="s">
        <v>151</v>
      </c>
      <c r="U7" s="145" t="s">
        <v>153</v>
      </c>
      <c r="V7" s="145" t="s">
        <v>154</v>
      </c>
      <c r="W7" s="145" t="s">
        <v>155</v>
      </c>
      <c r="X7" s="145" t="s">
        <v>289</v>
      </c>
    </row>
    <row r="8" spans="1:24" x14ac:dyDescent="0.35">
      <c r="A8" s="253" t="s">
        <v>158</v>
      </c>
      <c r="B8" s="253"/>
      <c r="C8" s="147">
        <v>1</v>
      </c>
      <c r="D8" s="148">
        <v>1</v>
      </c>
      <c r="E8" s="147">
        <v>2</v>
      </c>
      <c r="F8" s="147">
        <v>1</v>
      </c>
      <c r="G8" s="147">
        <v>2</v>
      </c>
      <c r="H8" s="147">
        <v>1</v>
      </c>
      <c r="I8" s="147">
        <v>1</v>
      </c>
      <c r="J8" s="147">
        <v>1</v>
      </c>
      <c r="K8" s="147">
        <v>1</v>
      </c>
      <c r="L8" s="147">
        <v>1</v>
      </c>
      <c r="M8" s="147">
        <v>2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1</v>
      </c>
      <c r="U8" s="147">
        <v>1</v>
      </c>
      <c r="V8" s="147">
        <v>1</v>
      </c>
      <c r="W8" s="147">
        <v>4</v>
      </c>
      <c r="X8" s="147">
        <v>1</v>
      </c>
    </row>
    <row r="9" spans="1:24" x14ac:dyDescent="0.35">
      <c r="A9" s="150" t="s">
        <v>159</v>
      </c>
      <c r="B9" s="151"/>
      <c r="C9" s="173" t="s">
        <v>225</v>
      </c>
      <c r="D9" s="152"/>
      <c r="E9" s="152"/>
      <c r="F9" s="173" t="s">
        <v>225</v>
      </c>
      <c r="G9" s="173" t="s">
        <v>225</v>
      </c>
      <c r="H9" s="152"/>
      <c r="I9" s="152"/>
      <c r="J9" s="173" t="s">
        <v>225</v>
      </c>
      <c r="K9" s="154"/>
      <c r="L9" s="173" t="s">
        <v>225</v>
      </c>
      <c r="M9" s="173" t="s">
        <v>225</v>
      </c>
      <c r="N9" s="173" t="s">
        <v>225</v>
      </c>
      <c r="O9" s="173" t="s">
        <v>225</v>
      </c>
      <c r="P9" s="173" t="s">
        <v>225</v>
      </c>
      <c r="Q9" s="152"/>
      <c r="R9" s="173" t="s">
        <v>225</v>
      </c>
      <c r="S9" s="173" t="s">
        <v>225</v>
      </c>
      <c r="T9" s="173" t="s">
        <v>225</v>
      </c>
      <c r="U9" s="152"/>
      <c r="V9" s="173" t="s">
        <v>225</v>
      </c>
      <c r="W9" s="152"/>
      <c r="X9" s="173" t="s">
        <v>225</v>
      </c>
    </row>
    <row r="10" spans="1:24" x14ac:dyDescent="0.35">
      <c r="A10" s="155" t="s">
        <v>161</v>
      </c>
      <c r="B10" s="156" t="s">
        <v>162</v>
      </c>
      <c r="C10" s="172">
        <v>0</v>
      </c>
      <c r="D10" s="157"/>
      <c r="E10" s="157"/>
      <c r="F10" s="172">
        <v>0</v>
      </c>
      <c r="G10" s="172">
        <v>0</v>
      </c>
      <c r="H10" s="157"/>
      <c r="I10" s="157"/>
      <c r="J10" s="172">
        <v>0</v>
      </c>
      <c r="K10" s="157"/>
      <c r="L10" s="172">
        <v>0</v>
      </c>
      <c r="M10" s="172">
        <v>0</v>
      </c>
      <c r="N10" s="172">
        <v>0</v>
      </c>
      <c r="O10" s="172">
        <v>0</v>
      </c>
      <c r="P10" s="172">
        <v>0</v>
      </c>
      <c r="Q10" s="157"/>
      <c r="R10" s="172">
        <v>0</v>
      </c>
      <c r="S10" s="172">
        <v>0</v>
      </c>
      <c r="T10" s="172">
        <v>0</v>
      </c>
      <c r="U10" s="157">
        <v>0</v>
      </c>
      <c r="V10" s="172">
        <v>0</v>
      </c>
      <c r="W10" s="157"/>
      <c r="X10" s="172">
        <v>0</v>
      </c>
    </row>
    <row r="11" spans="1:24" x14ac:dyDescent="0.35">
      <c r="A11" s="155" t="s">
        <v>161</v>
      </c>
      <c r="B11" s="156" t="s">
        <v>163</v>
      </c>
      <c r="C11" s="172">
        <v>8608</v>
      </c>
      <c r="D11" s="157"/>
      <c r="E11" s="157"/>
      <c r="F11" s="172">
        <v>8608</v>
      </c>
      <c r="G11" s="172">
        <v>5406</v>
      </c>
      <c r="H11" s="157"/>
      <c r="I11" s="157"/>
      <c r="J11" s="172">
        <v>8608</v>
      </c>
      <c r="K11" s="157"/>
      <c r="L11" s="172">
        <v>8608</v>
      </c>
      <c r="M11" s="172">
        <v>5406</v>
      </c>
      <c r="N11" s="172">
        <v>5406</v>
      </c>
      <c r="O11" s="172">
        <v>5406</v>
      </c>
      <c r="P11" s="172">
        <v>5406</v>
      </c>
      <c r="Q11" s="157"/>
      <c r="R11" s="172">
        <v>8608</v>
      </c>
      <c r="S11" s="172">
        <v>5406</v>
      </c>
      <c r="T11" s="172">
        <v>5406</v>
      </c>
      <c r="U11" s="157"/>
      <c r="V11" s="172">
        <v>8608</v>
      </c>
      <c r="W11" s="157"/>
      <c r="X11" s="172">
        <v>11076</v>
      </c>
    </row>
    <row r="12" spans="1:24" x14ac:dyDescent="0.35">
      <c r="A12" s="155" t="s">
        <v>164</v>
      </c>
      <c r="B12" s="156"/>
      <c r="C12" s="176">
        <v>43637</v>
      </c>
      <c r="D12" s="157"/>
      <c r="E12" s="157"/>
      <c r="F12" s="176">
        <v>43637</v>
      </c>
      <c r="G12" s="176">
        <v>43308</v>
      </c>
      <c r="H12" s="157"/>
      <c r="I12" s="157"/>
      <c r="J12" s="176">
        <v>43637</v>
      </c>
      <c r="K12" s="157"/>
      <c r="L12" s="176">
        <v>43637</v>
      </c>
      <c r="M12" s="176">
        <v>43308</v>
      </c>
      <c r="N12" s="176">
        <v>43308</v>
      </c>
      <c r="O12" s="176">
        <v>43308</v>
      </c>
      <c r="P12" s="176">
        <v>43308</v>
      </c>
      <c r="Q12" s="157"/>
      <c r="R12" s="176">
        <v>43637</v>
      </c>
      <c r="S12" s="176">
        <v>43308</v>
      </c>
      <c r="T12" s="176">
        <v>43308</v>
      </c>
      <c r="U12" s="157"/>
      <c r="V12" s="176">
        <v>43637</v>
      </c>
      <c r="W12" s="157"/>
      <c r="X12" s="176">
        <v>43807</v>
      </c>
    </row>
    <row r="13" spans="1:24" ht="29" x14ac:dyDescent="0.35">
      <c r="A13" s="160" t="s">
        <v>165</v>
      </c>
      <c r="B13" s="161"/>
      <c r="C13" s="162" t="s">
        <v>166</v>
      </c>
      <c r="D13" s="157"/>
      <c r="E13" s="157"/>
      <c r="F13" s="162" t="s">
        <v>166</v>
      </c>
      <c r="G13" s="162" t="s">
        <v>166</v>
      </c>
      <c r="H13" s="157"/>
      <c r="I13" s="157"/>
      <c r="J13" s="162" t="s">
        <v>166</v>
      </c>
      <c r="K13" s="157"/>
      <c r="L13" s="162" t="s">
        <v>166</v>
      </c>
      <c r="M13" s="162" t="s">
        <v>166</v>
      </c>
      <c r="N13" s="162" t="s">
        <v>166</v>
      </c>
      <c r="O13" s="162" t="s">
        <v>166</v>
      </c>
      <c r="P13" s="162" t="s">
        <v>166</v>
      </c>
      <c r="Q13" s="157"/>
      <c r="R13" s="162" t="s">
        <v>166</v>
      </c>
      <c r="S13" s="162" t="s">
        <v>166</v>
      </c>
      <c r="T13" s="162" t="s">
        <v>166</v>
      </c>
      <c r="U13" s="157"/>
      <c r="V13" s="162" t="s">
        <v>166</v>
      </c>
      <c r="W13" s="157"/>
      <c r="X13" s="162" t="s">
        <v>166</v>
      </c>
    </row>
    <row r="14" spans="1:24" x14ac:dyDescent="0.35">
      <c r="A14" s="225" t="s">
        <v>167</v>
      </c>
      <c r="B14" s="225"/>
      <c r="C14" s="225">
        <f>IFERROR(C11-C10,"")</f>
        <v>8608</v>
      </c>
      <c r="D14" s="225">
        <f t="shared" ref="D14:W14" si="0">IFERROR(D11-D10,"")</f>
        <v>0</v>
      </c>
      <c r="E14" s="225">
        <f t="shared" si="0"/>
        <v>0</v>
      </c>
      <c r="F14" s="225">
        <f t="shared" si="0"/>
        <v>8608</v>
      </c>
      <c r="G14" s="225">
        <f t="shared" si="0"/>
        <v>5406</v>
      </c>
      <c r="H14" s="225">
        <f t="shared" si="0"/>
        <v>0</v>
      </c>
      <c r="I14" s="225">
        <f t="shared" si="0"/>
        <v>0</v>
      </c>
      <c r="J14" s="225">
        <f t="shared" si="0"/>
        <v>8608</v>
      </c>
      <c r="K14" s="225">
        <f t="shared" si="0"/>
        <v>0</v>
      </c>
      <c r="L14" s="225">
        <f t="shared" si="0"/>
        <v>8608</v>
      </c>
      <c r="M14" s="225">
        <f t="shared" si="0"/>
        <v>5406</v>
      </c>
      <c r="N14" s="225">
        <f t="shared" si="0"/>
        <v>5406</v>
      </c>
      <c r="O14" s="225">
        <f t="shared" si="0"/>
        <v>5406</v>
      </c>
      <c r="P14" s="225">
        <f t="shared" si="0"/>
        <v>5406</v>
      </c>
      <c r="Q14" s="225">
        <f t="shared" si="0"/>
        <v>0</v>
      </c>
      <c r="R14" s="225">
        <f t="shared" si="0"/>
        <v>8608</v>
      </c>
      <c r="S14" s="225">
        <f t="shared" si="0"/>
        <v>5406</v>
      </c>
      <c r="T14" s="225">
        <f t="shared" si="0"/>
        <v>5406</v>
      </c>
      <c r="U14" s="225">
        <f t="shared" si="0"/>
        <v>0</v>
      </c>
      <c r="V14" s="225">
        <f t="shared" si="0"/>
        <v>8608</v>
      </c>
      <c r="W14" s="225">
        <f t="shared" si="0"/>
        <v>0</v>
      </c>
      <c r="X14" s="225">
        <f t="shared" ref="X14" si="1">IFERROR(X11-X10,"")</f>
        <v>11076</v>
      </c>
    </row>
    <row r="15" spans="1:24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</row>
    <row r="16" spans="1:24" x14ac:dyDescent="0.35">
      <c r="A16" s="150" t="s">
        <v>159</v>
      </c>
      <c r="B16" s="151"/>
      <c r="C16" s="163"/>
      <c r="D16" s="154"/>
      <c r="E16" s="154"/>
      <c r="F16" s="154"/>
      <c r="G16" s="176">
        <v>43308</v>
      </c>
      <c r="H16" s="154"/>
      <c r="I16" s="154"/>
      <c r="J16" s="152"/>
      <c r="K16" s="154"/>
      <c r="L16" s="176">
        <v>43637</v>
      </c>
      <c r="M16" s="176">
        <v>43308</v>
      </c>
      <c r="N16" s="176">
        <v>43308</v>
      </c>
      <c r="O16" s="178"/>
      <c r="P16" s="176">
        <v>43308</v>
      </c>
      <c r="Q16" s="154"/>
      <c r="R16" s="154"/>
      <c r="S16" s="176">
        <v>43308</v>
      </c>
      <c r="T16" s="176">
        <v>43308</v>
      </c>
      <c r="U16" s="154"/>
      <c r="V16" s="154"/>
      <c r="W16" s="154"/>
      <c r="X16" s="154"/>
    </row>
    <row r="17" spans="1:24" x14ac:dyDescent="0.35">
      <c r="A17" s="155" t="s">
        <v>161</v>
      </c>
      <c r="B17" s="156" t="s">
        <v>162</v>
      </c>
      <c r="C17" s="165"/>
      <c r="D17" s="157"/>
      <c r="E17" s="157"/>
      <c r="F17" s="157"/>
      <c r="G17" s="172">
        <v>5406</v>
      </c>
      <c r="H17" s="157"/>
      <c r="I17" s="157"/>
      <c r="J17" s="157"/>
      <c r="K17" s="157"/>
      <c r="L17" s="172">
        <v>8608</v>
      </c>
      <c r="M17" s="172">
        <v>5406</v>
      </c>
      <c r="N17" s="172">
        <v>5406</v>
      </c>
      <c r="O17" s="172"/>
      <c r="P17" s="172">
        <v>5406</v>
      </c>
      <c r="Q17" s="157"/>
      <c r="R17" s="157"/>
      <c r="S17" s="172">
        <v>5406</v>
      </c>
      <c r="T17" s="172">
        <v>5406</v>
      </c>
      <c r="U17" s="157"/>
      <c r="V17" s="157"/>
      <c r="W17" s="157"/>
      <c r="X17" s="157"/>
    </row>
    <row r="18" spans="1:24" x14ac:dyDescent="0.35">
      <c r="A18" s="155" t="s">
        <v>161</v>
      </c>
      <c r="B18" s="156" t="s">
        <v>163</v>
      </c>
      <c r="C18" s="165"/>
      <c r="D18" s="157"/>
      <c r="E18" s="157"/>
      <c r="F18" s="157"/>
      <c r="G18" s="172">
        <v>11076</v>
      </c>
      <c r="H18" s="157"/>
      <c r="I18" s="157"/>
      <c r="J18" s="157"/>
      <c r="K18" s="157"/>
      <c r="L18" s="172">
        <v>11076</v>
      </c>
      <c r="M18" s="172"/>
      <c r="N18" s="172"/>
      <c r="O18" s="172"/>
      <c r="P18" s="172">
        <v>8608</v>
      </c>
      <c r="Q18" s="157"/>
      <c r="R18" s="157"/>
      <c r="S18" s="172">
        <v>8608</v>
      </c>
      <c r="T18" s="172">
        <v>8608</v>
      </c>
      <c r="U18" s="157"/>
      <c r="V18" s="157"/>
      <c r="W18" s="157"/>
      <c r="X18" s="157"/>
    </row>
    <row r="19" spans="1:24" x14ac:dyDescent="0.35">
      <c r="A19" s="155" t="s">
        <v>164</v>
      </c>
      <c r="B19" s="156"/>
      <c r="C19" s="165"/>
      <c r="D19" s="157"/>
      <c r="E19" s="157"/>
      <c r="F19" s="157"/>
      <c r="G19" s="176">
        <v>43807</v>
      </c>
      <c r="H19" s="157"/>
      <c r="I19" s="157"/>
      <c r="J19" s="166"/>
      <c r="K19" s="157"/>
      <c r="L19" s="176">
        <v>43807</v>
      </c>
      <c r="M19" s="178">
        <v>43647</v>
      </c>
      <c r="N19" s="178">
        <v>43647</v>
      </c>
      <c r="O19" s="176"/>
      <c r="P19" s="176">
        <v>43637</v>
      </c>
      <c r="Q19" s="157"/>
      <c r="R19" s="157"/>
      <c r="S19" s="176">
        <v>43637</v>
      </c>
      <c r="T19" s="176">
        <v>43637</v>
      </c>
      <c r="U19" s="157"/>
      <c r="V19" s="157"/>
      <c r="W19" s="157"/>
      <c r="X19" s="157"/>
    </row>
    <row r="20" spans="1:24" ht="29" x14ac:dyDescent="0.35">
      <c r="A20" s="160" t="s">
        <v>165</v>
      </c>
      <c r="B20" s="167"/>
      <c r="C20" s="165"/>
      <c r="D20" s="157"/>
      <c r="E20" s="157"/>
      <c r="F20" s="157"/>
      <c r="G20" s="162" t="s">
        <v>166</v>
      </c>
      <c r="H20" s="157"/>
      <c r="I20" s="157"/>
      <c r="J20" s="157"/>
      <c r="K20" s="157"/>
      <c r="L20" s="162" t="s">
        <v>166</v>
      </c>
      <c r="M20" s="162" t="s">
        <v>166</v>
      </c>
      <c r="N20" s="162" t="s">
        <v>166</v>
      </c>
      <c r="O20" s="162"/>
      <c r="P20" s="162" t="s">
        <v>166</v>
      </c>
      <c r="Q20" s="157"/>
      <c r="R20" s="157"/>
      <c r="S20" s="162" t="s">
        <v>166</v>
      </c>
      <c r="T20" s="162" t="s">
        <v>166</v>
      </c>
      <c r="U20" s="157"/>
      <c r="V20" s="157"/>
      <c r="W20" s="157"/>
      <c r="X20" s="157"/>
    </row>
    <row r="21" spans="1:24" x14ac:dyDescent="0.35">
      <c r="A21" s="225" t="s">
        <v>167</v>
      </c>
      <c r="B21" s="225"/>
      <c r="C21" s="225">
        <f>IFERROR(C18-C17,"")</f>
        <v>0</v>
      </c>
      <c r="D21" s="225">
        <f t="shared" ref="D21:W21" si="2">IFERROR(D18-D17,"")</f>
        <v>0</v>
      </c>
      <c r="E21" s="225">
        <f t="shared" si="2"/>
        <v>0</v>
      </c>
      <c r="F21" s="225">
        <f t="shared" si="2"/>
        <v>0</v>
      </c>
      <c r="G21" s="225">
        <f t="shared" si="2"/>
        <v>5670</v>
      </c>
      <c r="H21" s="225">
        <f t="shared" si="2"/>
        <v>0</v>
      </c>
      <c r="I21" s="225">
        <f t="shared" si="2"/>
        <v>0</v>
      </c>
      <c r="J21" s="225">
        <f t="shared" si="2"/>
        <v>0</v>
      </c>
      <c r="K21" s="225">
        <f t="shared" si="2"/>
        <v>0</v>
      </c>
      <c r="L21" s="225">
        <f t="shared" si="2"/>
        <v>2468</v>
      </c>
      <c r="M21" s="225">
        <f t="shared" si="2"/>
        <v>-5406</v>
      </c>
      <c r="N21" s="225">
        <f t="shared" si="2"/>
        <v>-5406</v>
      </c>
      <c r="O21" s="225">
        <f t="shared" si="2"/>
        <v>0</v>
      </c>
      <c r="P21" s="225">
        <f t="shared" si="2"/>
        <v>3202</v>
      </c>
      <c r="Q21" s="225">
        <f t="shared" si="2"/>
        <v>0</v>
      </c>
      <c r="R21" s="225">
        <f t="shared" si="2"/>
        <v>0</v>
      </c>
      <c r="S21" s="225">
        <f t="shared" si="2"/>
        <v>3202</v>
      </c>
      <c r="T21" s="225">
        <f t="shared" si="2"/>
        <v>3202</v>
      </c>
      <c r="U21" s="225">
        <f t="shared" si="2"/>
        <v>0</v>
      </c>
      <c r="V21" s="225">
        <f t="shared" si="2"/>
        <v>0</v>
      </c>
      <c r="W21" s="225">
        <f t="shared" si="2"/>
        <v>0</v>
      </c>
      <c r="X21" s="225">
        <f t="shared" ref="X21" si="3">IFERROR(X18-X17,"")</f>
        <v>0</v>
      </c>
    </row>
    <row r="22" spans="1:24" ht="16.399999999999999" customHeight="1" x14ac:dyDescent="0.35">
      <c r="A22" s="65" t="s">
        <v>2</v>
      </c>
      <c r="B22" s="65"/>
      <c r="C22" s="65">
        <f>AVERAGE(C14,C21)</f>
        <v>4304</v>
      </c>
      <c r="D22" s="65">
        <f t="shared" ref="D22:X22" si="4">AVERAGE(D14,D21)</f>
        <v>0</v>
      </c>
      <c r="E22" s="65">
        <f t="shared" si="4"/>
        <v>0</v>
      </c>
      <c r="F22" s="65">
        <f t="shared" si="4"/>
        <v>4304</v>
      </c>
      <c r="G22" s="65">
        <f t="shared" si="4"/>
        <v>5538</v>
      </c>
      <c r="H22" s="65">
        <f t="shared" si="4"/>
        <v>0</v>
      </c>
      <c r="I22" s="65">
        <f t="shared" si="4"/>
        <v>0</v>
      </c>
      <c r="J22" s="65">
        <f t="shared" si="4"/>
        <v>4304</v>
      </c>
      <c r="K22" s="65">
        <f t="shared" si="4"/>
        <v>0</v>
      </c>
      <c r="L22" s="65">
        <f t="shared" si="4"/>
        <v>5538</v>
      </c>
      <c r="M22" s="65">
        <f t="shared" si="4"/>
        <v>0</v>
      </c>
      <c r="N22" s="65">
        <f t="shared" si="4"/>
        <v>0</v>
      </c>
      <c r="O22" s="65">
        <f t="shared" si="4"/>
        <v>2703</v>
      </c>
      <c r="P22" s="65">
        <f t="shared" si="4"/>
        <v>4304</v>
      </c>
      <c r="Q22" s="65">
        <f t="shared" si="4"/>
        <v>0</v>
      </c>
      <c r="R22" s="65">
        <f t="shared" si="4"/>
        <v>4304</v>
      </c>
      <c r="S22" s="65">
        <f t="shared" si="4"/>
        <v>4304</v>
      </c>
      <c r="T22" s="65">
        <f t="shared" si="4"/>
        <v>4304</v>
      </c>
      <c r="U22" s="65">
        <f t="shared" si="4"/>
        <v>0</v>
      </c>
      <c r="V22" s="65">
        <f t="shared" si="4"/>
        <v>4304</v>
      </c>
      <c r="W22" s="65">
        <f t="shared" si="4"/>
        <v>0</v>
      </c>
      <c r="X22" s="65">
        <f t="shared" si="4"/>
        <v>5538</v>
      </c>
    </row>
    <row r="23" spans="1:24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78">
        <v>43647</v>
      </c>
      <c r="N23" s="178">
        <v>43647</v>
      </c>
      <c r="O23" s="152"/>
      <c r="P23" s="152"/>
      <c r="Q23" s="154"/>
      <c r="R23" s="168"/>
      <c r="S23" s="176">
        <v>43637</v>
      </c>
      <c r="T23" s="176">
        <v>43637</v>
      </c>
      <c r="U23" s="154"/>
      <c r="V23" s="154"/>
      <c r="W23" s="154"/>
      <c r="X23" s="154"/>
    </row>
    <row r="24" spans="1:24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72"/>
      <c r="N24" s="172"/>
      <c r="O24" s="157"/>
      <c r="P24" s="157"/>
      <c r="Q24" s="157"/>
      <c r="R24" s="157"/>
      <c r="S24" s="172">
        <v>8608</v>
      </c>
      <c r="T24" s="172">
        <v>8608</v>
      </c>
      <c r="U24" s="157"/>
      <c r="V24" s="157"/>
      <c r="W24" s="157"/>
      <c r="X24" s="157"/>
    </row>
    <row r="25" spans="1:24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72">
        <v>11076</v>
      </c>
      <c r="N25" s="172">
        <v>11076</v>
      </c>
      <c r="O25" s="157"/>
      <c r="P25" s="157"/>
      <c r="Q25" s="157"/>
      <c r="R25" s="157"/>
      <c r="S25" s="172">
        <v>11076</v>
      </c>
      <c r="T25" s="172">
        <v>11076</v>
      </c>
      <c r="U25" s="157"/>
      <c r="V25" s="157"/>
      <c r="W25" s="157"/>
      <c r="X25" s="157"/>
    </row>
    <row r="26" spans="1:24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76">
        <v>43807</v>
      </c>
      <c r="N26" s="176">
        <v>43807</v>
      </c>
      <c r="O26" s="157"/>
      <c r="P26" s="157"/>
      <c r="Q26" s="157"/>
      <c r="R26" s="157"/>
      <c r="S26" s="176">
        <v>43807</v>
      </c>
      <c r="T26" s="176">
        <v>43807</v>
      </c>
      <c r="U26" s="157"/>
      <c r="V26" s="157"/>
      <c r="W26" s="157"/>
      <c r="X26" s="157"/>
    </row>
    <row r="27" spans="1:24" ht="29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62" t="s">
        <v>166</v>
      </c>
      <c r="N27" s="162" t="s">
        <v>166</v>
      </c>
      <c r="O27" s="157"/>
      <c r="P27" s="157"/>
      <c r="Q27" s="157"/>
      <c r="R27" s="157"/>
      <c r="S27" s="162" t="s">
        <v>166</v>
      </c>
      <c r="T27" s="162" t="s">
        <v>166</v>
      </c>
      <c r="U27" s="157"/>
      <c r="V27" s="157"/>
      <c r="W27" s="157"/>
      <c r="X27" s="157"/>
    </row>
    <row r="28" spans="1:24" x14ac:dyDescent="0.35">
      <c r="A28" s="225" t="s">
        <v>167</v>
      </c>
      <c r="B28" s="225"/>
      <c r="C28" s="225">
        <f>IFERROR(C25-C24,"")</f>
        <v>0</v>
      </c>
      <c r="D28" s="225">
        <f t="shared" ref="D28:W28" si="5">IFERROR(D25-D24,"")</f>
        <v>0</v>
      </c>
      <c r="E28" s="225">
        <f t="shared" si="5"/>
        <v>0</v>
      </c>
      <c r="F28" s="225">
        <f t="shared" si="5"/>
        <v>0</v>
      </c>
      <c r="G28" s="225">
        <f t="shared" si="5"/>
        <v>0</v>
      </c>
      <c r="H28" s="225">
        <f t="shared" si="5"/>
        <v>0</v>
      </c>
      <c r="I28" s="225">
        <f t="shared" si="5"/>
        <v>0</v>
      </c>
      <c r="J28" s="225">
        <f t="shared" si="5"/>
        <v>0</v>
      </c>
      <c r="K28" s="225">
        <f t="shared" si="5"/>
        <v>0</v>
      </c>
      <c r="L28" s="225">
        <f t="shared" si="5"/>
        <v>0</v>
      </c>
      <c r="M28" s="225">
        <f t="shared" si="5"/>
        <v>11076</v>
      </c>
      <c r="N28" s="225">
        <f t="shared" si="5"/>
        <v>11076</v>
      </c>
      <c r="O28" s="225">
        <f t="shared" si="5"/>
        <v>0</v>
      </c>
      <c r="P28" s="225">
        <f t="shared" si="5"/>
        <v>0</v>
      </c>
      <c r="Q28" s="225">
        <f t="shared" si="5"/>
        <v>0</v>
      </c>
      <c r="R28" s="225">
        <f t="shared" si="5"/>
        <v>0</v>
      </c>
      <c r="S28" s="225">
        <f t="shared" si="5"/>
        <v>2468</v>
      </c>
      <c r="T28" s="225">
        <f t="shared" si="5"/>
        <v>2468</v>
      </c>
      <c r="U28" s="225">
        <f t="shared" si="5"/>
        <v>0</v>
      </c>
      <c r="V28" s="225">
        <f t="shared" si="5"/>
        <v>0</v>
      </c>
      <c r="W28" s="225">
        <f t="shared" si="5"/>
        <v>0</v>
      </c>
      <c r="X28" s="225">
        <f t="shared" ref="X28" si="6">IFERROR(X25-X24,"")</f>
        <v>0</v>
      </c>
    </row>
    <row r="29" spans="1:24" ht="16.399999999999999" customHeight="1" x14ac:dyDescent="0.35">
      <c r="A29" s="65" t="s">
        <v>2</v>
      </c>
      <c r="B29" s="65"/>
      <c r="C29" s="65">
        <f>AVERAGE(C21,C28,C14)</f>
        <v>2869.3333333333335</v>
      </c>
      <c r="D29" s="65">
        <f t="shared" ref="D29:X29" si="7">AVERAGE(D21,D28,D14)</f>
        <v>0</v>
      </c>
      <c r="E29" s="65">
        <f t="shared" si="7"/>
        <v>0</v>
      </c>
      <c r="F29" s="65">
        <f t="shared" si="7"/>
        <v>2869.3333333333335</v>
      </c>
      <c r="G29" s="65">
        <f t="shared" si="7"/>
        <v>3692</v>
      </c>
      <c r="H29" s="65">
        <f t="shared" si="7"/>
        <v>0</v>
      </c>
      <c r="I29" s="65">
        <f t="shared" si="7"/>
        <v>0</v>
      </c>
      <c r="J29" s="65">
        <f t="shared" si="7"/>
        <v>2869.3333333333335</v>
      </c>
      <c r="K29" s="65">
        <f t="shared" si="7"/>
        <v>0</v>
      </c>
      <c r="L29" s="65">
        <f t="shared" si="7"/>
        <v>3692</v>
      </c>
      <c r="M29" s="65">
        <f t="shared" si="7"/>
        <v>3692</v>
      </c>
      <c r="N29" s="65">
        <f t="shared" si="7"/>
        <v>3692</v>
      </c>
      <c r="O29" s="65">
        <f t="shared" si="7"/>
        <v>1802</v>
      </c>
      <c r="P29" s="65">
        <f t="shared" si="7"/>
        <v>2869.3333333333335</v>
      </c>
      <c r="Q29" s="65">
        <f t="shared" si="7"/>
        <v>0</v>
      </c>
      <c r="R29" s="65">
        <f t="shared" si="7"/>
        <v>2869.3333333333335</v>
      </c>
      <c r="S29" s="65">
        <f t="shared" si="7"/>
        <v>3692</v>
      </c>
      <c r="T29" s="65">
        <f t="shared" si="7"/>
        <v>3692</v>
      </c>
      <c r="U29" s="65">
        <f t="shared" si="7"/>
        <v>0</v>
      </c>
      <c r="V29" s="65">
        <f t="shared" si="7"/>
        <v>2869.3333333333335</v>
      </c>
      <c r="W29" s="65">
        <f t="shared" si="7"/>
        <v>0</v>
      </c>
      <c r="X29" s="65">
        <f t="shared" si="7"/>
        <v>3692</v>
      </c>
    </row>
    <row r="30" spans="1:24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/>
      <c r="O30" s="152"/>
      <c r="P30" s="152"/>
      <c r="Q30" s="154"/>
      <c r="R30" s="154"/>
      <c r="S30" s="154"/>
      <c r="T30" s="154"/>
      <c r="U30" s="154"/>
      <c r="V30" s="154"/>
      <c r="W30" s="154"/>
      <c r="X30" s="154"/>
    </row>
    <row r="31" spans="1:24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  <c r="W31" s="157"/>
      <c r="X31" s="157"/>
    </row>
    <row r="32" spans="1:24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72">
        <v>15280</v>
      </c>
      <c r="T32" s="172">
        <v>15280</v>
      </c>
      <c r="U32" s="157"/>
      <c r="V32" s="157"/>
      <c r="W32" s="157"/>
      <c r="X32" s="157"/>
    </row>
    <row r="33" spans="1:24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  <c r="X33" s="157"/>
    </row>
    <row r="34" spans="1:24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  <c r="X34" s="157"/>
    </row>
    <row r="35" spans="1:24" x14ac:dyDescent="0.35">
      <c r="A35" s="225" t="s">
        <v>167</v>
      </c>
      <c r="B35" s="225"/>
      <c r="C35" s="225">
        <f>IFERROR(C32-C31,"")</f>
        <v>0</v>
      </c>
      <c r="D35" s="225">
        <f t="shared" ref="D35:W35" si="8">IFERROR(D32-D31,"")</f>
        <v>0</v>
      </c>
      <c r="E35" s="225">
        <f t="shared" si="8"/>
        <v>0</v>
      </c>
      <c r="F35" s="225">
        <f t="shared" si="8"/>
        <v>0</v>
      </c>
      <c r="G35" s="225">
        <f t="shared" si="8"/>
        <v>0</v>
      </c>
      <c r="H35" s="225">
        <f t="shared" si="8"/>
        <v>0</v>
      </c>
      <c r="I35" s="225">
        <f t="shared" si="8"/>
        <v>0</v>
      </c>
      <c r="J35" s="225">
        <f t="shared" si="8"/>
        <v>0</v>
      </c>
      <c r="K35" s="225">
        <f t="shared" si="8"/>
        <v>0</v>
      </c>
      <c r="L35" s="225">
        <f t="shared" si="8"/>
        <v>0</v>
      </c>
      <c r="M35" s="225">
        <f t="shared" si="8"/>
        <v>0</v>
      </c>
      <c r="N35" s="225">
        <f t="shared" si="8"/>
        <v>0</v>
      </c>
      <c r="O35" s="225">
        <f t="shared" si="8"/>
        <v>0</v>
      </c>
      <c r="P35" s="225">
        <f t="shared" si="8"/>
        <v>0</v>
      </c>
      <c r="Q35" s="225">
        <f t="shared" si="8"/>
        <v>0</v>
      </c>
      <c r="R35" s="225">
        <f t="shared" si="8"/>
        <v>0</v>
      </c>
      <c r="S35" s="225">
        <f t="shared" si="8"/>
        <v>15280</v>
      </c>
      <c r="T35" s="225">
        <f t="shared" si="8"/>
        <v>15280</v>
      </c>
      <c r="U35" s="225">
        <f t="shared" si="8"/>
        <v>0</v>
      </c>
      <c r="V35" s="225">
        <f t="shared" si="8"/>
        <v>0</v>
      </c>
      <c r="W35" s="225">
        <f t="shared" si="8"/>
        <v>0</v>
      </c>
      <c r="X35" s="225">
        <f t="shared" ref="X35" si="9">IFERROR(X32-X31,"")</f>
        <v>0</v>
      </c>
    </row>
    <row r="36" spans="1:24" ht="16.399999999999999" customHeight="1" x14ac:dyDescent="0.35">
      <c r="A36" s="65" t="s">
        <v>2</v>
      </c>
      <c r="B36" s="65"/>
      <c r="C36" s="65">
        <f>AVERAGE(C28,C35,C21,C14)</f>
        <v>2152</v>
      </c>
      <c r="D36" s="65">
        <f t="shared" ref="D36:X36" si="10">AVERAGE(D28,D35,D21,D14)</f>
        <v>0</v>
      </c>
      <c r="E36" s="65">
        <f t="shared" si="10"/>
        <v>0</v>
      </c>
      <c r="F36" s="65">
        <f t="shared" si="10"/>
        <v>2152</v>
      </c>
      <c r="G36" s="65">
        <f t="shared" si="10"/>
        <v>2769</v>
      </c>
      <c r="H36" s="65">
        <f t="shared" si="10"/>
        <v>0</v>
      </c>
      <c r="I36" s="65">
        <f t="shared" si="10"/>
        <v>0</v>
      </c>
      <c r="J36" s="65">
        <f t="shared" si="10"/>
        <v>2152</v>
      </c>
      <c r="K36" s="65">
        <f t="shared" si="10"/>
        <v>0</v>
      </c>
      <c r="L36" s="65">
        <f t="shared" si="10"/>
        <v>2769</v>
      </c>
      <c r="M36" s="65">
        <f t="shared" si="10"/>
        <v>2769</v>
      </c>
      <c r="N36" s="65">
        <f t="shared" si="10"/>
        <v>2769</v>
      </c>
      <c r="O36" s="65">
        <f t="shared" si="10"/>
        <v>1351.5</v>
      </c>
      <c r="P36" s="65">
        <f t="shared" si="10"/>
        <v>2152</v>
      </c>
      <c r="Q36" s="65">
        <f t="shared" si="10"/>
        <v>0</v>
      </c>
      <c r="R36" s="65">
        <f t="shared" si="10"/>
        <v>2152</v>
      </c>
      <c r="S36" s="65">
        <f t="shared" si="10"/>
        <v>6589</v>
      </c>
      <c r="T36" s="65">
        <f t="shared" si="10"/>
        <v>6589</v>
      </c>
      <c r="U36" s="65">
        <f t="shared" si="10"/>
        <v>0</v>
      </c>
      <c r="V36" s="65">
        <f t="shared" si="10"/>
        <v>2152</v>
      </c>
      <c r="W36" s="65">
        <f t="shared" si="10"/>
        <v>0</v>
      </c>
      <c r="X36" s="65">
        <f t="shared" si="10"/>
        <v>2769</v>
      </c>
    </row>
    <row r="37" spans="1:24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52"/>
      <c r="P37" s="152"/>
      <c r="Q37" s="154"/>
      <c r="R37" s="154"/>
      <c r="S37" s="154"/>
      <c r="T37" s="154"/>
      <c r="U37" s="154"/>
      <c r="V37" s="154"/>
      <c r="W37" s="154"/>
      <c r="X37" s="154"/>
    </row>
    <row r="38" spans="1:24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  <c r="W38" s="157"/>
      <c r="X38" s="157"/>
    </row>
    <row r="39" spans="1:24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  <c r="X39" s="157"/>
    </row>
    <row r="40" spans="1:24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  <c r="X40" s="157"/>
    </row>
    <row r="41" spans="1:24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  <c r="X41" s="157"/>
    </row>
    <row r="42" spans="1:24" x14ac:dyDescent="0.35">
      <c r="A42" s="225" t="s">
        <v>167</v>
      </c>
      <c r="B42" s="225"/>
      <c r="C42" s="225">
        <f>IFERROR(C39-C38,"")</f>
        <v>0</v>
      </c>
      <c r="D42" s="225">
        <f t="shared" ref="D42:W42" si="11">IFERROR(D39-D38,"")</f>
        <v>0</v>
      </c>
      <c r="E42" s="225">
        <f t="shared" si="11"/>
        <v>0</v>
      </c>
      <c r="F42" s="225">
        <f t="shared" si="11"/>
        <v>0</v>
      </c>
      <c r="G42" s="225">
        <f t="shared" si="11"/>
        <v>0</v>
      </c>
      <c r="H42" s="225">
        <f t="shared" si="11"/>
        <v>0</v>
      </c>
      <c r="I42" s="225">
        <f t="shared" si="11"/>
        <v>0</v>
      </c>
      <c r="J42" s="225">
        <f t="shared" si="11"/>
        <v>0</v>
      </c>
      <c r="K42" s="225">
        <f t="shared" si="11"/>
        <v>0</v>
      </c>
      <c r="L42" s="225">
        <f t="shared" si="11"/>
        <v>0</v>
      </c>
      <c r="M42" s="225">
        <f t="shared" si="11"/>
        <v>0</v>
      </c>
      <c r="N42" s="225">
        <f t="shared" si="11"/>
        <v>0</v>
      </c>
      <c r="O42" s="225">
        <f t="shared" si="11"/>
        <v>0</v>
      </c>
      <c r="P42" s="225">
        <f t="shared" si="11"/>
        <v>0</v>
      </c>
      <c r="Q42" s="225">
        <f t="shared" si="11"/>
        <v>0</v>
      </c>
      <c r="R42" s="225">
        <f t="shared" si="11"/>
        <v>0</v>
      </c>
      <c r="S42" s="225">
        <f t="shared" si="11"/>
        <v>0</v>
      </c>
      <c r="T42" s="225">
        <f t="shared" si="11"/>
        <v>0</v>
      </c>
      <c r="U42" s="225">
        <f t="shared" si="11"/>
        <v>0</v>
      </c>
      <c r="V42" s="225">
        <f t="shared" si="11"/>
        <v>0</v>
      </c>
      <c r="W42" s="225">
        <f t="shared" si="11"/>
        <v>0</v>
      </c>
      <c r="X42" s="225">
        <f t="shared" ref="X42" si="12">IFERROR(X39-X38,"")</f>
        <v>0</v>
      </c>
    </row>
    <row r="43" spans="1:24" ht="16.399999999999999" customHeight="1" x14ac:dyDescent="0.35">
      <c r="A43" s="65" t="s">
        <v>2</v>
      </c>
      <c r="B43" s="65"/>
      <c r="C43" s="65">
        <f>AVERAGE(C35,C42,C28,C21,C14)</f>
        <v>1721.6</v>
      </c>
      <c r="D43" s="65">
        <f t="shared" ref="D43:X43" si="13">AVERAGE(D35,D42,D28,D21,D14)</f>
        <v>0</v>
      </c>
      <c r="E43" s="65">
        <f t="shared" si="13"/>
        <v>0</v>
      </c>
      <c r="F43" s="65">
        <f t="shared" si="13"/>
        <v>1721.6</v>
      </c>
      <c r="G43" s="65">
        <f t="shared" si="13"/>
        <v>2215.1999999999998</v>
      </c>
      <c r="H43" s="65">
        <f t="shared" si="13"/>
        <v>0</v>
      </c>
      <c r="I43" s="65">
        <f t="shared" si="13"/>
        <v>0</v>
      </c>
      <c r="J43" s="65">
        <f t="shared" si="13"/>
        <v>1721.6</v>
      </c>
      <c r="K43" s="65">
        <f t="shared" si="13"/>
        <v>0</v>
      </c>
      <c r="L43" s="65">
        <f t="shared" si="13"/>
        <v>2215.1999999999998</v>
      </c>
      <c r="M43" s="65">
        <f t="shared" si="13"/>
        <v>2215.1999999999998</v>
      </c>
      <c r="N43" s="65">
        <f t="shared" si="13"/>
        <v>2215.1999999999998</v>
      </c>
      <c r="O43" s="65">
        <f t="shared" si="13"/>
        <v>1081.2</v>
      </c>
      <c r="P43" s="65">
        <f t="shared" si="13"/>
        <v>1721.6</v>
      </c>
      <c r="Q43" s="65">
        <f t="shared" si="13"/>
        <v>0</v>
      </c>
      <c r="R43" s="65">
        <f t="shared" si="13"/>
        <v>1721.6</v>
      </c>
      <c r="S43" s="65">
        <f t="shared" si="13"/>
        <v>5271.2</v>
      </c>
      <c r="T43" s="65">
        <f t="shared" si="13"/>
        <v>5271.2</v>
      </c>
      <c r="U43" s="65">
        <f t="shared" si="13"/>
        <v>0</v>
      </c>
      <c r="V43" s="65">
        <f t="shared" si="13"/>
        <v>1721.6</v>
      </c>
      <c r="W43" s="65">
        <f t="shared" si="13"/>
        <v>0</v>
      </c>
      <c r="X43" s="65">
        <f t="shared" si="13"/>
        <v>2215.1999999999998</v>
      </c>
    </row>
    <row r="44" spans="1:24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/>
      <c r="P44" s="152"/>
      <c r="Q44" s="154"/>
      <c r="R44" s="154"/>
      <c r="S44" s="154"/>
      <c r="T44" s="154"/>
      <c r="U44" s="154"/>
      <c r="V44" s="154"/>
      <c r="W44" s="154"/>
      <c r="X44" s="154"/>
    </row>
    <row r="45" spans="1:24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  <c r="X45" s="157"/>
    </row>
    <row r="46" spans="1:24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  <c r="X46" s="157"/>
    </row>
    <row r="47" spans="1:24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  <c r="X47" s="157"/>
    </row>
    <row r="48" spans="1:24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  <c r="X48" s="157"/>
    </row>
    <row r="49" spans="1:24" x14ac:dyDescent="0.35">
      <c r="A49" s="225" t="s">
        <v>167</v>
      </c>
      <c r="B49" s="225"/>
      <c r="C49" s="225">
        <f>IFERROR(C46-C45,"")</f>
        <v>0</v>
      </c>
      <c r="D49" s="225">
        <f t="shared" ref="D49:W49" si="14">IFERROR(D46-D45,"")</f>
        <v>0</v>
      </c>
      <c r="E49" s="225">
        <f t="shared" si="14"/>
        <v>0</v>
      </c>
      <c r="F49" s="225">
        <f t="shared" si="14"/>
        <v>0</v>
      </c>
      <c r="G49" s="225">
        <f t="shared" si="14"/>
        <v>0</v>
      </c>
      <c r="H49" s="225">
        <f t="shared" si="14"/>
        <v>0</v>
      </c>
      <c r="I49" s="225">
        <f t="shared" si="14"/>
        <v>0</v>
      </c>
      <c r="J49" s="225">
        <f t="shared" si="14"/>
        <v>0</v>
      </c>
      <c r="K49" s="225">
        <f t="shared" si="14"/>
        <v>0</v>
      </c>
      <c r="L49" s="225">
        <f t="shared" si="14"/>
        <v>0</v>
      </c>
      <c r="M49" s="225">
        <f t="shared" si="14"/>
        <v>0</v>
      </c>
      <c r="N49" s="225">
        <f t="shared" si="14"/>
        <v>0</v>
      </c>
      <c r="O49" s="225">
        <f t="shared" si="14"/>
        <v>0</v>
      </c>
      <c r="P49" s="225">
        <f t="shared" si="14"/>
        <v>0</v>
      </c>
      <c r="Q49" s="225">
        <f t="shared" si="14"/>
        <v>0</v>
      </c>
      <c r="R49" s="225">
        <f t="shared" si="14"/>
        <v>0</v>
      </c>
      <c r="S49" s="225">
        <f t="shared" si="14"/>
        <v>0</v>
      </c>
      <c r="T49" s="225">
        <f t="shared" si="14"/>
        <v>0</v>
      </c>
      <c r="U49" s="225">
        <f t="shared" si="14"/>
        <v>0</v>
      </c>
      <c r="V49" s="225">
        <f t="shared" si="14"/>
        <v>0</v>
      </c>
      <c r="W49" s="225">
        <f t="shared" si="14"/>
        <v>0</v>
      </c>
      <c r="X49" s="225">
        <f t="shared" ref="X49" si="15">IFERROR(X46-X45,"")</f>
        <v>0</v>
      </c>
    </row>
    <row r="50" spans="1:24" ht="16.399999999999999" customHeight="1" x14ac:dyDescent="0.35">
      <c r="A50" s="65" t="s">
        <v>2</v>
      </c>
      <c r="B50" s="65"/>
      <c r="C50" s="65">
        <f>AVERAGE(C42,C49,C35,C28,C21,C14)</f>
        <v>1434.6666666666667</v>
      </c>
      <c r="D50" s="65">
        <f t="shared" ref="D50:X50" si="16">AVERAGE(D42,D49,D35,D28,D21,D14)</f>
        <v>0</v>
      </c>
      <c r="E50" s="65">
        <f t="shared" si="16"/>
        <v>0</v>
      </c>
      <c r="F50" s="65">
        <f t="shared" si="16"/>
        <v>1434.6666666666667</v>
      </c>
      <c r="G50" s="65">
        <f t="shared" si="16"/>
        <v>1846</v>
      </c>
      <c r="H50" s="65">
        <f t="shared" si="16"/>
        <v>0</v>
      </c>
      <c r="I50" s="65">
        <f t="shared" si="16"/>
        <v>0</v>
      </c>
      <c r="J50" s="65">
        <f t="shared" si="16"/>
        <v>1434.6666666666667</v>
      </c>
      <c r="K50" s="65">
        <f t="shared" si="16"/>
        <v>0</v>
      </c>
      <c r="L50" s="65">
        <f t="shared" si="16"/>
        <v>1846</v>
      </c>
      <c r="M50" s="65">
        <f t="shared" si="16"/>
        <v>1846</v>
      </c>
      <c r="N50" s="65">
        <f t="shared" si="16"/>
        <v>1846</v>
      </c>
      <c r="O50" s="65">
        <f t="shared" si="16"/>
        <v>901</v>
      </c>
      <c r="P50" s="65">
        <f t="shared" si="16"/>
        <v>1434.6666666666667</v>
      </c>
      <c r="Q50" s="65">
        <f t="shared" si="16"/>
        <v>0</v>
      </c>
      <c r="R50" s="65">
        <f t="shared" si="16"/>
        <v>1434.6666666666667</v>
      </c>
      <c r="S50" s="65">
        <f t="shared" si="16"/>
        <v>4392.666666666667</v>
      </c>
      <c r="T50" s="65">
        <f t="shared" si="16"/>
        <v>4392.666666666667</v>
      </c>
      <c r="U50" s="65">
        <f t="shared" si="16"/>
        <v>0</v>
      </c>
      <c r="V50" s="65">
        <f t="shared" si="16"/>
        <v>1434.6666666666667</v>
      </c>
      <c r="W50" s="65">
        <f t="shared" si="16"/>
        <v>0</v>
      </c>
      <c r="X50" s="65">
        <f t="shared" si="16"/>
        <v>1846</v>
      </c>
    </row>
    <row r="51" spans="1:24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/>
      <c r="P51" s="152"/>
      <c r="Q51" s="154"/>
      <c r="R51" s="154"/>
      <c r="S51" s="154"/>
      <c r="T51" s="154"/>
      <c r="U51" s="154"/>
      <c r="V51" s="154"/>
      <c r="W51" s="154"/>
      <c r="X51" s="154"/>
    </row>
    <row r="52" spans="1:24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  <c r="X52" s="157"/>
    </row>
    <row r="53" spans="1:24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  <c r="X53" s="157"/>
    </row>
    <row r="54" spans="1:24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  <c r="X54" s="157"/>
    </row>
    <row r="55" spans="1:24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  <c r="X55" s="157"/>
    </row>
    <row r="56" spans="1:24" x14ac:dyDescent="0.35">
      <c r="A56" s="225" t="s">
        <v>167</v>
      </c>
      <c r="B56" s="225"/>
      <c r="C56" s="225">
        <f>IFERROR(C53-C52,"")</f>
        <v>0</v>
      </c>
      <c r="D56" s="225">
        <f t="shared" ref="D56:W56" si="17">IFERROR(D53-D52,"")</f>
        <v>0</v>
      </c>
      <c r="E56" s="225">
        <f t="shared" si="17"/>
        <v>0</v>
      </c>
      <c r="F56" s="225">
        <f t="shared" si="17"/>
        <v>0</v>
      </c>
      <c r="G56" s="225">
        <f t="shared" si="17"/>
        <v>0</v>
      </c>
      <c r="H56" s="225">
        <f t="shared" si="17"/>
        <v>0</v>
      </c>
      <c r="I56" s="225">
        <f t="shared" si="17"/>
        <v>0</v>
      </c>
      <c r="J56" s="225">
        <f t="shared" si="17"/>
        <v>0</v>
      </c>
      <c r="K56" s="225">
        <f t="shared" si="17"/>
        <v>0</v>
      </c>
      <c r="L56" s="225">
        <f t="shared" si="17"/>
        <v>0</v>
      </c>
      <c r="M56" s="225">
        <f t="shared" si="17"/>
        <v>0</v>
      </c>
      <c r="N56" s="225">
        <f t="shared" si="17"/>
        <v>0</v>
      </c>
      <c r="O56" s="225">
        <f t="shared" si="17"/>
        <v>0</v>
      </c>
      <c r="P56" s="225">
        <f t="shared" si="17"/>
        <v>0</v>
      </c>
      <c r="Q56" s="225">
        <f t="shared" si="17"/>
        <v>0</v>
      </c>
      <c r="R56" s="225">
        <f t="shared" si="17"/>
        <v>0</v>
      </c>
      <c r="S56" s="225">
        <f t="shared" si="17"/>
        <v>0</v>
      </c>
      <c r="T56" s="225">
        <f t="shared" si="17"/>
        <v>0</v>
      </c>
      <c r="U56" s="225">
        <f t="shared" si="17"/>
        <v>0</v>
      </c>
      <c r="V56" s="225">
        <f t="shared" si="17"/>
        <v>0</v>
      </c>
      <c r="W56" s="225">
        <f t="shared" si="17"/>
        <v>0</v>
      </c>
      <c r="X56" s="225">
        <f t="shared" ref="X56" si="18">IFERROR(X53-X52,"")</f>
        <v>0</v>
      </c>
    </row>
    <row r="57" spans="1:24" ht="16.399999999999999" customHeight="1" x14ac:dyDescent="0.35">
      <c r="A57" s="65" t="s">
        <v>2</v>
      </c>
      <c r="B57" s="65"/>
      <c r="C57" s="65">
        <f>AVERAGE(C49,C56,C42,C35,C28,C21,C14)</f>
        <v>1229.7142857142858</v>
      </c>
      <c r="D57" s="65">
        <f t="shared" ref="D57:X57" si="19">AVERAGE(D49,D56,D42,D35,D28,D21,D14)</f>
        <v>0</v>
      </c>
      <c r="E57" s="65">
        <f t="shared" si="19"/>
        <v>0</v>
      </c>
      <c r="F57" s="65">
        <f t="shared" si="19"/>
        <v>1229.7142857142858</v>
      </c>
      <c r="G57" s="65">
        <f t="shared" si="19"/>
        <v>1582.2857142857142</v>
      </c>
      <c r="H57" s="65">
        <f t="shared" si="19"/>
        <v>0</v>
      </c>
      <c r="I57" s="65">
        <f t="shared" si="19"/>
        <v>0</v>
      </c>
      <c r="J57" s="65">
        <f t="shared" si="19"/>
        <v>1229.7142857142858</v>
      </c>
      <c r="K57" s="65">
        <f t="shared" si="19"/>
        <v>0</v>
      </c>
      <c r="L57" s="65">
        <f t="shared" si="19"/>
        <v>1582.2857142857142</v>
      </c>
      <c r="M57" s="65">
        <f t="shared" si="19"/>
        <v>1582.2857142857142</v>
      </c>
      <c r="N57" s="65">
        <f t="shared" si="19"/>
        <v>1582.2857142857142</v>
      </c>
      <c r="O57" s="65">
        <f t="shared" si="19"/>
        <v>772.28571428571433</v>
      </c>
      <c r="P57" s="65">
        <f t="shared" si="19"/>
        <v>1229.7142857142858</v>
      </c>
      <c r="Q57" s="65">
        <f t="shared" si="19"/>
        <v>0</v>
      </c>
      <c r="R57" s="65">
        <f t="shared" si="19"/>
        <v>1229.7142857142858</v>
      </c>
      <c r="S57" s="65">
        <f t="shared" si="19"/>
        <v>3765.1428571428573</v>
      </c>
      <c r="T57" s="65">
        <f t="shared" si="19"/>
        <v>3765.1428571428573</v>
      </c>
      <c r="U57" s="65">
        <f t="shared" si="19"/>
        <v>0</v>
      </c>
      <c r="V57" s="65">
        <f t="shared" si="19"/>
        <v>1229.7142857142858</v>
      </c>
      <c r="W57" s="65">
        <f t="shared" si="19"/>
        <v>0</v>
      </c>
      <c r="X57" s="65">
        <f t="shared" si="19"/>
        <v>1582.2857142857142</v>
      </c>
    </row>
    <row r="58" spans="1:24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/>
      <c r="P58" s="152"/>
      <c r="Q58" s="154"/>
      <c r="R58" s="154"/>
      <c r="S58" s="154"/>
      <c r="T58" s="154"/>
      <c r="U58" s="154"/>
      <c r="V58" s="154"/>
      <c r="W58" s="154"/>
      <c r="X58" s="154"/>
    </row>
    <row r="59" spans="1:24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  <c r="X59" s="157"/>
    </row>
    <row r="60" spans="1:24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  <c r="X60" s="157"/>
    </row>
    <row r="61" spans="1:24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  <c r="X61" s="157"/>
    </row>
    <row r="62" spans="1:24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  <c r="X62" s="157"/>
    </row>
    <row r="63" spans="1:24" x14ac:dyDescent="0.35">
      <c r="A63" s="225" t="s">
        <v>167</v>
      </c>
      <c r="B63" s="225"/>
      <c r="C63" s="225">
        <f>IFERROR(C60-C59,"")</f>
        <v>0</v>
      </c>
      <c r="D63" s="225">
        <f t="shared" ref="D63:W63" si="20">IFERROR(D60-D59,"")</f>
        <v>0</v>
      </c>
      <c r="E63" s="225">
        <f t="shared" si="20"/>
        <v>0</v>
      </c>
      <c r="F63" s="225">
        <f t="shared" si="20"/>
        <v>0</v>
      </c>
      <c r="G63" s="225">
        <f t="shared" si="20"/>
        <v>0</v>
      </c>
      <c r="H63" s="225">
        <f t="shared" si="20"/>
        <v>0</v>
      </c>
      <c r="I63" s="225">
        <f t="shared" si="20"/>
        <v>0</v>
      </c>
      <c r="J63" s="225">
        <f t="shared" si="20"/>
        <v>0</v>
      </c>
      <c r="K63" s="225">
        <f t="shared" si="20"/>
        <v>0</v>
      </c>
      <c r="L63" s="225">
        <f t="shared" si="20"/>
        <v>0</v>
      </c>
      <c r="M63" s="225">
        <f t="shared" si="20"/>
        <v>0</v>
      </c>
      <c r="N63" s="225">
        <f t="shared" si="20"/>
        <v>0</v>
      </c>
      <c r="O63" s="225">
        <f t="shared" si="20"/>
        <v>0</v>
      </c>
      <c r="P63" s="225">
        <f t="shared" si="20"/>
        <v>0</v>
      </c>
      <c r="Q63" s="225">
        <f t="shared" si="20"/>
        <v>0</v>
      </c>
      <c r="R63" s="225">
        <f t="shared" si="20"/>
        <v>0</v>
      </c>
      <c r="S63" s="225">
        <f t="shared" si="20"/>
        <v>0</v>
      </c>
      <c r="T63" s="225">
        <f t="shared" si="20"/>
        <v>0</v>
      </c>
      <c r="U63" s="225">
        <f t="shared" si="20"/>
        <v>0</v>
      </c>
      <c r="V63" s="225">
        <f t="shared" si="20"/>
        <v>0</v>
      </c>
      <c r="W63" s="225">
        <f t="shared" si="20"/>
        <v>0</v>
      </c>
      <c r="X63" s="225">
        <f t="shared" ref="X63" si="21">IFERROR(X60-X59,"")</f>
        <v>0</v>
      </c>
    </row>
    <row r="64" spans="1:24" ht="16.399999999999999" customHeight="1" x14ac:dyDescent="0.35">
      <c r="A64" s="65" t="s">
        <v>2</v>
      </c>
      <c r="B64" s="65"/>
      <c r="C64" s="65">
        <f>AVERAGE(C56,C63,C49,C42,C35,C28,C21,C14)</f>
        <v>1076</v>
      </c>
      <c r="D64" s="65">
        <f t="shared" ref="D64:X64" si="22">AVERAGE(D56,D63,D49,D42,D35,D28,D21,D14)</f>
        <v>0</v>
      </c>
      <c r="E64" s="65">
        <f t="shared" si="22"/>
        <v>0</v>
      </c>
      <c r="F64" s="65">
        <f t="shared" si="22"/>
        <v>1076</v>
      </c>
      <c r="G64" s="65">
        <f t="shared" si="22"/>
        <v>1384.5</v>
      </c>
      <c r="H64" s="65">
        <f t="shared" si="22"/>
        <v>0</v>
      </c>
      <c r="I64" s="65">
        <f t="shared" si="22"/>
        <v>0</v>
      </c>
      <c r="J64" s="65">
        <f t="shared" si="22"/>
        <v>1076</v>
      </c>
      <c r="K64" s="65">
        <f t="shared" si="22"/>
        <v>0</v>
      </c>
      <c r="L64" s="65">
        <f t="shared" si="22"/>
        <v>1384.5</v>
      </c>
      <c r="M64" s="65">
        <f t="shared" si="22"/>
        <v>1384.5</v>
      </c>
      <c r="N64" s="65">
        <f t="shared" si="22"/>
        <v>1384.5</v>
      </c>
      <c r="O64" s="65">
        <f t="shared" si="22"/>
        <v>675.75</v>
      </c>
      <c r="P64" s="65">
        <f t="shared" si="22"/>
        <v>1076</v>
      </c>
      <c r="Q64" s="65">
        <f t="shared" si="22"/>
        <v>0</v>
      </c>
      <c r="R64" s="65">
        <f t="shared" si="22"/>
        <v>1076</v>
      </c>
      <c r="S64" s="65">
        <f t="shared" si="22"/>
        <v>3294.5</v>
      </c>
      <c r="T64" s="65">
        <f t="shared" si="22"/>
        <v>3294.5</v>
      </c>
      <c r="U64" s="65">
        <f t="shared" si="22"/>
        <v>0</v>
      </c>
      <c r="V64" s="65">
        <f t="shared" si="22"/>
        <v>1076</v>
      </c>
      <c r="W64" s="65">
        <f t="shared" si="22"/>
        <v>0</v>
      </c>
      <c r="X64" s="65">
        <f t="shared" si="22"/>
        <v>1384.5</v>
      </c>
    </row>
  </sheetData>
  <sheetProtection algorithmName="SHA-512" hashValue="CaPvnWGCJevk1r0WewidiQHsaO/LYcBtR+gGreFBqzI+n4vKOX4q4TpNCpEMexGQ6e8EWBxOWpXtgydpuFxhvA==" saltValue="QtBD/v/TRBbOYJjlWC+zEA==" spinCount="100000" sheet="1" objects="1" scenarios="1"/>
  <mergeCells count="2">
    <mergeCell ref="A7:B7"/>
    <mergeCell ref="A8:B8"/>
  </mergeCells>
  <conditionalFormatting sqref="C15 F15:W15">
    <cfRule type="expression" dxfId="135" priority="71">
      <formula>C15&lt;#REF!</formula>
    </cfRule>
    <cfRule type="expression" dxfId="134" priority="72">
      <formula>C15&gt;#REF!</formula>
    </cfRule>
  </conditionalFormatting>
  <conditionalFormatting sqref="D15">
    <cfRule type="expression" dxfId="133" priority="73">
      <formula>D15&lt;#REF!</formula>
    </cfRule>
    <cfRule type="expression" dxfId="132" priority="74">
      <formula>D15&gt;#REF!</formula>
    </cfRule>
  </conditionalFormatting>
  <conditionalFormatting sqref="E15">
    <cfRule type="expression" dxfId="131" priority="75" stopIfTrue="1">
      <formula>E15&lt;#REF!</formula>
    </cfRule>
    <cfRule type="expression" dxfId="130" priority="76" stopIfTrue="1">
      <formula>E15&gt;#REF!</formula>
    </cfRule>
  </conditionalFormatting>
  <conditionalFormatting sqref="C22:X22">
    <cfRule type="expression" dxfId="129" priority="65">
      <formula>C22&lt;#REF!</formula>
    </cfRule>
    <cfRule type="expression" dxfId="128" priority="66">
      <formula>C22&gt;#REF!</formula>
    </cfRule>
  </conditionalFormatting>
  <conditionalFormatting sqref="D22">
    <cfRule type="expression" dxfId="127" priority="67">
      <formula>D22&lt;#REF!</formula>
    </cfRule>
    <cfRule type="expression" dxfId="126" priority="68">
      <formula>D22&gt;#REF!</formula>
    </cfRule>
  </conditionalFormatting>
  <conditionalFormatting sqref="E22">
    <cfRule type="expression" dxfId="125" priority="69" stopIfTrue="1">
      <formula>E22&lt;#REF!</formula>
    </cfRule>
    <cfRule type="expression" dxfId="124" priority="70" stopIfTrue="1">
      <formula>E22&gt;#REF!</formula>
    </cfRule>
  </conditionalFormatting>
  <conditionalFormatting sqref="F29:W29">
    <cfRule type="expression" dxfId="123" priority="59">
      <formula>F29&lt;#REF!</formula>
    </cfRule>
    <cfRule type="expression" dxfId="122" priority="60">
      <formula>F29&gt;#REF!</formula>
    </cfRule>
  </conditionalFormatting>
  <conditionalFormatting sqref="D29">
    <cfRule type="expression" dxfId="121" priority="61">
      <formula>D29&lt;#REF!</formula>
    </cfRule>
    <cfRule type="expression" dxfId="120" priority="62">
      <formula>D29&gt;#REF!</formula>
    </cfRule>
  </conditionalFormatting>
  <conditionalFormatting sqref="E29">
    <cfRule type="expression" dxfId="119" priority="63" stopIfTrue="1">
      <formula>E29&lt;#REF!</formula>
    </cfRule>
    <cfRule type="expression" dxfId="118" priority="64" stopIfTrue="1">
      <formula>E29&gt;#REF!</formula>
    </cfRule>
  </conditionalFormatting>
  <conditionalFormatting sqref="F36:W36">
    <cfRule type="expression" dxfId="117" priority="53">
      <formula>F36&lt;#REF!</formula>
    </cfRule>
    <cfRule type="expression" dxfId="116" priority="54">
      <formula>F36&gt;#REF!</formula>
    </cfRule>
  </conditionalFormatting>
  <conditionalFormatting sqref="D36">
    <cfRule type="expression" dxfId="115" priority="55">
      <formula>D36&lt;#REF!</formula>
    </cfRule>
    <cfRule type="expression" dxfId="114" priority="56">
      <formula>D36&gt;#REF!</formula>
    </cfRule>
  </conditionalFormatting>
  <conditionalFormatting sqref="E36">
    <cfRule type="expression" dxfId="113" priority="57" stopIfTrue="1">
      <formula>E36&lt;#REF!</formula>
    </cfRule>
    <cfRule type="expression" dxfId="112" priority="58" stopIfTrue="1">
      <formula>E36&gt;#REF!</formula>
    </cfRule>
  </conditionalFormatting>
  <conditionalFormatting sqref="F43:W43">
    <cfRule type="expression" dxfId="111" priority="47">
      <formula>F43&lt;#REF!</formula>
    </cfRule>
    <cfRule type="expression" dxfId="110" priority="48">
      <formula>F43&gt;#REF!</formula>
    </cfRule>
  </conditionalFormatting>
  <conditionalFormatting sqref="D43">
    <cfRule type="expression" dxfId="109" priority="49">
      <formula>D43&lt;#REF!</formula>
    </cfRule>
    <cfRule type="expression" dxfId="108" priority="50">
      <formula>D43&gt;#REF!</formula>
    </cfRule>
  </conditionalFormatting>
  <conditionalFormatting sqref="E43">
    <cfRule type="expression" dxfId="107" priority="51" stopIfTrue="1">
      <formula>E43&lt;#REF!</formula>
    </cfRule>
    <cfRule type="expression" dxfId="106" priority="52" stopIfTrue="1">
      <formula>E43&gt;#REF!</formula>
    </cfRule>
  </conditionalFormatting>
  <conditionalFormatting sqref="F50:W50">
    <cfRule type="expression" dxfId="105" priority="41">
      <formula>F50&lt;#REF!</formula>
    </cfRule>
    <cfRule type="expression" dxfId="104" priority="42">
      <formula>F50&gt;#REF!</formula>
    </cfRule>
  </conditionalFormatting>
  <conditionalFormatting sqref="D50">
    <cfRule type="expression" dxfId="103" priority="43">
      <formula>D50&lt;#REF!</formula>
    </cfRule>
    <cfRule type="expression" dxfId="102" priority="44">
      <formula>D50&gt;#REF!</formula>
    </cfRule>
  </conditionalFormatting>
  <conditionalFormatting sqref="E50">
    <cfRule type="expression" dxfId="101" priority="45" stopIfTrue="1">
      <formula>E50&lt;#REF!</formula>
    </cfRule>
    <cfRule type="expression" dxfId="100" priority="46" stopIfTrue="1">
      <formula>E50&gt;#REF!</formula>
    </cfRule>
  </conditionalFormatting>
  <conditionalFormatting sqref="F57:W57">
    <cfRule type="expression" dxfId="99" priority="35">
      <formula>F57&lt;#REF!</formula>
    </cfRule>
    <cfRule type="expression" dxfId="98" priority="36">
      <formula>F57&gt;#REF!</formula>
    </cfRule>
  </conditionalFormatting>
  <conditionalFormatting sqref="D57">
    <cfRule type="expression" dxfId="97" priority="37">
      <formula>D57&lt;#REF!</formula>
    </cfRule>
    <cfRule type="expression" dxfId="96" priority="38">
      <formula>D57&gt;#REF!</formula>
    </cfRule>
  </conditionalFormatting>
  <conditionalFormatting sqref="E57">
    <cfRule type="expression" dxfId="95" priority="39" stopIfTrue="1">
      <formula>E57&lt;#REF!</formula>
    </cfRule>
    <cfRule type="expression" dxfId="94" priority="40" stopIfTrue="1">
      <formula>E57&gt;#REF!</formula>
    </cfRule>
  </conditionalFormatting>
  <conditionalFormatting sqref="F64:W64">
    <cfRule type="expression" dxfId="93" priority="29">
      <formula>F64&lt;#REF!</formula>
    </cfRule>
    <cfRule type="expression" dxfId="92" priority="30">
      <formula>F64&gt;#REF!</formula>
    </cfRule>
  </conditionalFormatting>
  <conditionalFormatting sqref="D64">
    <cfRule type="expression" dxfId="91" priority="31">
      <formula>D64&lt;#REF!</formula>
    </cfRule>
    <cfRule type="expression" dxfId="90" priority="32">
      <formula>D64&gt;#REF!</formula>
    </cfRule>
  </conditionalFormatting>
  <conditionalFormatting sqref="E64">
    <cfRule type="expression" dxfId="89" priority="33" stopIfTrue="1">
      <formula>E64&lt;#REF!</formula>
    </cfRule>
    <cfRule type="expression" dxfId="88" priority="34" stopIfTrue="1">
      <formula>E64&gt;#REF!</formula>
    </cfRule>
  </conditionalFormatting>
  <conditionalFormatting sqref="X15">
    <cfRule type="expression" dxfId="87" priority="27">
      <formula>X15&lt;#REF!</formula>
    </cfRule>
    <cfRule type="expression" dxfId="86" priority="28">
      <formula>X15&gt;#REF!</formula>
    </cfRule>
  </conditionalFormatting>
  <conditionalFormatting sqref="X22">
    <cfRule type="expression" dxfId="85" priority="25">
      <formula>X22&lt;#REF!</formula>
    </cfRule>
    <cfRule type="expression" dxfId="84" priority="26">
      <formula>X22&gt;#REF!</formula>
    </cfRule>
  </conditionalFormatting>
  <conditionalFormatting sqref="X29">
    <cfRule type="expression" dxfId="83" priority="23">
      <formula>X29&lt;#REF!</formula>
    </cfRule>
    <cfRule type="expression" dxfId="82" priority="24">
      <formula>X29&gt;#REF!</formula>
    </cfRule>
  </conditionalFormatting>
  <conditionalFormatting sqref="X36">
    <cfRule type="expression" dxfId="81" priority="21">
      <formula>X36&lt;#REF!</formula>
    </cfRule>
    <cfRule type="expression" dxfId="80" priority="22">
      <formula>X36&gt;#REF!</formula>
    </cfRule>
  </conditionalFormatting>
  <conditionalFormatting sqref="X43">
    <cfRule type="expression" dxfId="79" priority="19">
      <formula>X43&lt;#REF!</formula>
    </cfRule>
    <cfRule type="expression" dxfId="78" priority="20">
      <formula>X43&gt;#REF!</formula>
    </cfRule>
  </conditionalFormatting>
  <conditionalFormatting sqref="X50">
    <cfRule type="expression" dxfId="77" priority="17">
      <formula>X50&lt;#REF!</formula>
    </cfRule>
    <cfRule type="expression" dxfId="76" priority="18">
      <formula>X50&gt;#REF!</formula>
    </cfRule>
  </conditionalFormatting>
  <conditionalFormatting sqref="X57">
    <cfRule type="expression" dxfId="75" priority="15">
      <formula>X57&lt;#REF!</formula>
    </cfRule>
    <cfRule type="expression" dxfId="74" priority="16">
      <formula>X57&gt;#REF!</formula>
    </cfRule>
  </conditionalFormatting>
  <conditionalFormatting sqref="X64">
    <cfRule type="expression" dxfId="73" priority="13">
      <formula>X64&lt;#REF!</formula>
    </cfRule>
    <cfRule type="expression" dxfId="72" priority="14">
      <formula>X64&gt;#REF!</formula>
    </cfRule>
  </conditionalFormatting>
  <conditionalFormatting sqref="C64:X64">
    <cfRule type="expression" dxfId="71" priority="1">
      <formula>C64&lt;#REF!</formula>
    </cfRule>
    <cfRule type="expression" dxfId="70" priority="2">
      <formula>C64&gt;#REF!</formula>
    </cfRule>
  </conditionalFormatting>
  <conditionalFormatting sqref="C29:X29">
    <cfRule type="expression" dxfId="69" priority="11">
      <formula>C29&lt;#REF!</formula>
    </cfRule>
    <cfRule type="expression" dxfId="68" priority="12">
      <formula>C29&gt;#REF!</formula>
    </cfRule>
  </conditionalFormatting>
  <conditionalFormatting sqref="C36:X36">
    <cfRule type="expression" dxfId="67" priority="9">
      <formula>C36&lt;#REF!</formula>
    </cfRule>
    <cfRule type="expression" dxfId="66" priority="10">
      <formula>C36&gt;#REF!</formula>
    </cfRule>
  </conditionalFormatting>
  <conditionalFormatting sqref="C43:X43">
    <cfRule type="expression" dxfId="65" priority="7">
      <formula>C43&lt;#REF!</formula>
    </cfRule>
    <cfRule type="expression" dxfId="64" priority="8">
      <formula>C43&gt;#REF!</formula>
    </cfRule>
  </conditionalFormatting>
  <conditionalFormatting sqref="C50:X50">
    <cfRule type="expression" dxfId="63" priority="5">
      <formula>C50&lt;#REF!</formula>
    </cfRule>
    <cfRule type="expression" dxfId="62" priority="6">
      <formula>C50&gt;#REF!</formula>
    </cfRule>
  </conditionalFormatting>
  <conditionalFormatting sqref="C57:X57">
    <cfRule type="expression" dxfId="61" priority="3">
      <formula>C57&lt;#REF!</formula>
    </cfRule>
    <cfRule type="expression" dxfId="60" priority="4">
      <formula>C57&gt;#REF!</formula>
    </cfRule>
  </conditionalFormatting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W64"/>
  <sheetViews>
    <sheetView zoomScale="74" workbookViewId="0">
      <selection activeCell="D20" sqref="D20"/>
    </sheetView>
  </sheetViews>
  <sheetFormatPr defaultColWidth="8.81640625" defaultRowHeight="14.5" x14ac:dyDescent="0.35"/>
  <cols>
    <col min="1" max="1" width="16.81640625" customWidth="1"/>
    <col min="2" max="2" width="5" customWidth="1"/>
    <col min="3" max="3" width="21.54296875" bestFit="1" customWidth="1"/>
    <col min="4" max="4" width="21.81640625" customWidth="1"/>
    <col min="5" max="5" width="21" customWidth="1"/>
    <col min="6" max="6" width="20.81640625" customWidth="1"/>
    <col min="7" max="7" width="22.1796875" customWidth="1"/>
    <col min="8" max="8" width="26.1796875" customWidth="1"/>
    <col min="9" max="9" width="21.81640625" customWidth="1"/>
    <col min="10" max="10" width="18.54296875" customWidth="1"/>
    <col min="11" max="11" width="18.81640625" customWidth="1"/>
    <col min="12" max="12" width="17.1796875" bestFit="1" customWidth="1"/>
    <col min="13" max="13" width="19.453125" customWidth="1"/>
    <col min="14" max="14" width="16.81640625" customWidth="1"/>
    <col min="15" max="15" width="18.54296875" customWidth="1"/>
    <col min="16" max="16" width="17.1796875" bestFit="1" customWidth="1"/>
    <col min="17" max="18" width="18.81640625" customWidth="1"/>
    <col min="19" max="19" width="17.1796875" bestFit="1" customWidth="1"/>
    <col min="20" max="20" width="23.1796875" customWidth="1"/>
    <col min="21" max="22" width="17.1796875" bestFit="1" customWidth="1"/>
    <col min="23" max="23" width="18" customWidth="1"/>
  </cols>
  <sheetData>
    <row r="1" spans="1:23" ht="24" thickBot="1" x14ac:dyDescent="0.4">
      <c r="A1" s="186"/>
    </row>
    <row r="2" spans="1:23" x14ac:dyDescent="0.35">
      <c r="E2" s="130" t="s">
        <v>533</v>
      </c>
      <c r="F2" s="131"/>
      <c r="G2" s="131" t="s">
        <v>104</v>
      </c>
      <c r="H2" s="131"/>
      <c r="I2" s="132"/>
    </row>
    <row r="3" spans="1:23" x14ac:dyDescent="0.35">
      <c r="E3" s="133"/>
      <c r="F3" s="134" t="s">
        <v>504</v>
      </c>
      <c r="G3" s="135"/>
      <c r="H3" s="134"/>
      <c r="I3" s="136"/>
    </row>
    <row r="4" spans="1:23" ht="15" thickBot="1" x14ac:dyDescent="0.4">
      <c r="A4" t="s">
        <v>168</v>
      </c>
      <c r="B4" t="s">
        <v>169</v>
      </c>
      <c r="E4" s="137"/>
      <c r="F4" s="138" t="s">
        <v>197</v>
      </c>
      <c r="G4" s="139"/>
      <c r="H4" s="138" t="s">
        <v>112</v>
      </c>
      <c r="I4" s="140"/>
    </row>
    <row r="5" spans="1:23" ht="30.65" customHeight="1" x14ac:dyDescent="0.35">
      <c r="A5" s="141" t="s">
        <v>547</v>
      </c>
      <c r="B5" s="170" t="s">
        <v>548</v>
      </c>
    </row>
    <row r="6" spans="1:23" ht="28.4" customHeight="1" x14ac:dyDescent="0.35">
      <c r="A6" s="142" t="s">
        <v>200</v>
      </c>
      <c r="B6" s="169"/>
      <c r="C6" s="142" t="s">
        <v>507</v>
      </c>
      <c r="D6" s="142" t="s">
        <v>539</v>
      </c>
      <c r="E6" s="142" t="s">
        <v>509</v>
      </c>
      <c r="F6" s="142" t="s">
        <v>510</v>
      </c>
      <c r="G6" s="143" t="s">
        <v>511</v>
      </c>
      <c r="H6" s="143" t="s">
        <v>512</v>
      </c>
      <c r="I6" s="143" t="s">
        <v>513</v>
      </c>
      <c r="J6" s="142" t="s">
        <v>514</v>
      </c>
      <c r="K6" s="142" t="s">
        <v>515</v>
      </c>
      <c r="L6" s="142" t="s">
        <v>516</v>
      </c>
      <c r="M6" s="142" t="s">
        <v>517</v>
      </c>
      <c r="N6" s="142" t="s">
        <v>518</v>
      </c>
      <c r="O6" s="142" t="s">
        <v>520</v>
      </c>
      <c r="P6" s="144" t="s">
        <v>521</v>
      </c>
      <c r="Q6" s="144" t="s">
        <v>522</v>
      </c>
      <c r="R6" s="142" t="s">
        <v>523</v>
      </c>
      <c r="S6" s="142" t="s">
        <v>524</v>
      </c>
      <c r="T6" s="142" t="s">
        <v>525</v>
      </c>
      <c r="U6" s="142" t="s">
        <v>526</v>
      </c>
      <c r="V6" s="142" t="s">
        <v>527</v>
      </c>
      <c r="W6" s="142" t="s">
        <v>528</v>
      </c>
    </row>
    <row r="7" spans="1:23" x14ac:dyDescent="0.35">
      <c r="A7" s="252" t="s">
        <v>137</v>
      </c>
      <c r="B7" s="252"/>
      <c r="C7" s="145" t="s">
        <v>286</v>
      </c>
      <c r="D7" s="145" t="s">
        <v>529</v>
      </c>
      <c r="E7" s="145" t="s">
        <v>141</v>
      </c>
      <c r="F7" s="145" t="s">
        <v>287</v>
      </c>
      <c r="G7" s="145" t="s">
        <v>215</v>
      </c>
      <c r="H7" s="145" t="s">
        <v>142</v>
      </c>
      <c r="I7" s="145" t="s">
        <v>143</v>
      </c>
      <c r="J7" s="145" t="s">
        <v>320</v>
      </c>
      <c r="K7" s="145" t="s">
        <v>288</v>
      </c>
      <c r="L7" s="145" t="s">
        <v>144</v>
      </c>
      <c r="M7" s="145" t="s">
        <v>145</v>
      </c>
      <c r="N7" s="145" t="s">
        <v>146</v>
      </c>
      <c r="O7" s="145" t="s">
        <v>147</v>
      </c>
      <c r="P7" s="145" t="s">
        <v>148</v>
      </c>
      <c r="Q7" s="145" t="s">
        <v>149</v>
      </c>
      <c r="R7" s="145" t="s">
        <v>150</v>
      </c>
      <c r="S7" s="145" t="s">
        <v>151</v>
      </c>
      <c r="T7" s="145" t="s">
        <v>153</v>
      </c>
      <c r="U7" s="145" t="s">
        <v>154</v>
      </c>
      <c r="V7" s="145" t="s">
        <v>155</v>
      </c>
      <c r="W7" s="145" t="s">
        <v>289</v>
      </c>
    </row>
    <row r="8" spans="1:23" x14ac:dyDescent="0.35">
      <c r="A8" s="253" t="s">
        <v>158</v>
      </c>
      <c r="B8" s="253"/>
      <c r="C8" s="147">
        <v>1</v>
      </c>
      <c r="D8" s="148">
        <v>1</v>
      </c>
      <c r="E8" s="147">
        <v>2</v>
      </c>
      <c r="F8" s="147">
        <v>1</v>
      </c>
      <c r="G8" s="147">
        <v>2</v>
      </c>
      <c r="H8" s="147">
        <v>1</v>
      </c>
      <c r="I8" s="147">
        <v>1</v>
      </c>
      <c r="J8" s="147">
        <v>1</v>
      </c>
      <c r="K8" s="147">
        <v>1</v>
      </c>
      <c r="L8" s="147">
        <v>1</v>
      </c>
      <c r="M8" s="147">
        <v>2</v>
      </c>
      <c r="N8" s="147">
        <v>1</v>
      </c>
      <c r="O8" s="147">
        <v>1</v>
      </c>
      <c r="P8" s="147">
        <v>1</v>
      </c>
      <c r="Q8" s="147">
        <v>1</v>
      </c>
      <c r="R8" s="147">
        <v>1</v>
      </c>
      <c r="S8" s="147">
        <v>1</v>
      </c>
      <c r="T8" s="147">
        <v>1</v>
      </c>
      <c r="U8" s="147">
        <v>1</v>
      </c>
      <c r="V8" s="147">
        <v>4</v>
      </c>
      <c r="W8" s="147">
        <v>1</v>
      </c>
    </row>
    <row r="9" spans="1:23" x14ac:dyDescent="0.35">
      <c r="A9" s="150" t="s">
        <v>159</v>
      </c>
      <c r="B9" s="151"/>
      <c r="C9" s="152"/>
      <c r="D9" s="173" t="s">
        <v>225</v>
      </c>
      <c r="E9" s="152"/>
      <c r="F9" s="152"/>
      <c r="G9" s="152"/>
      <c r="H9" s="152"/>
      <c r="I9" s="152"/>
      <c r="J9" s="152"/>
      <c r="K9" s="153" t="s">
        <v>225</v>
      </c>
      <c r="L9" s="152"/>
      <c r="M9" s="153" t="s">
        <v>225</v>
      </c>
      <c r="N9" s="152"/>
      <c r="O9" s="153" t="s">
        <v>225</v>
      </c>
      <c r="P9" s="153" t="s">
        <v>225</v>
      </c>
      <c r="Q9" s="154"/>
      <c r="R9" s="173" t="s">
        <v>225</v>
      </c>
      <c r="S9" s="152"/>
      <c r="T9" s="152"/>
      <c r="U9" s="152"/>
      <c r="V9" s="152"/>
      <c r="W9" s="152"/>
    </row>
    <row r="10" spans="1:23" x14ac:dyDescent="0.35">
      <c r="A10" s="155" t="s">
        <v>161</v>
      </c>
      <c r="B10" s="156" t="s">
        <v>162</v>
      </c>
      <c r="C10" s="157"/>
      <c r="D10" s="173"/>
      <c r="E10" s="157"/>
      <c r="F10" s="157" t="s">
        <v>197</v>
      </c>
      <c r="G10" s="157"/>
      <c r="H10" s="157"/>
      <c r="I10" s="157"/>
      <c r="J10" s="157"/>
      <c r="K10" s="173"/>
      <c r="L10" s="157"/>
      <c r="M10" s="173"/>
      <c r="N10" s="157"/>
      <c r="O10" s="173"/>
      <c r="P10" s="173"/>
      <c r="Q10" s="157"/>
      <c r="R10" s="173"/>
      <c r="S10" s="157"/>
      <c r="T10" s="157"/>
      <c r="U10" s="157"/>
      <c r="V10" s="157"/>
      <c r="W10" s="157"/>
    </row>
    <row r="11" spans="1:23" x14ac:dyDescent="0.35">
      <c r="A11" s="155" t="s">
        <v>161</v>
      </c>
      <c r="B11" s="156" t="s">
        <v>163</v>
      </c>
      <c r="C11" s="157">
        <v>15757</v>
      </c>
      <c r="D11" s="172"/>
      <c r="E11" s="157"/>
      <c r="F11" s="157">
        <v>15757</v>
      </c>
      <c r="G11" s="157">
        <v>15757</v>
      </c>
      <c r="H11" s="157"/>
      <c r="I11" s="157"/>
      <c r="J11" s="157"/>
      <c r="K11" s="158">
        <v>8220</v>
      </c>
      <c r="L11" s="157"/>
      <c r="M11" s="158">
        <v>8220</v>
      </c>
      <c r="N11" s="157"/>
      <c r="O11" s="158">
        <v>8220</v>
      </c>
      <c r="P11" s="158">
        <v>8220</v>
      </c>
      <c r="Q11" s="157">
        <v>15757</v>
      </c>
      <c r="R11" s="172"/>
      <c r="S11" s="157">
        <v>15757</v>
      </c>
      <c r="T11" s="157"/>
      <c r="U11" s="157">
        <v>15757</v>
      </c>
      <c r="V11" s="157"/>
      <c r="W11" s="157"/>
    </row>
    <row r="12" spans="1:23" x14ac:dyDescent="0.35">
      <c r="A12" s="155" t="s">
        <v>164</v>
      </c>
      <c r="B12" s="156"/>
      <c r="C12" s="157" t="s">
        <v>549</v>
      </c>
      <c r="D12" s="176">
        <v>43770</v>
      </c>
      <c r="E12" s="157"/>
      <c r="F12" s="157" t="s">
        <v>544</v>
      </c>
      <c r="G12" s="157" t="s">
        <v>544</v>
      </c>
      <c r="H12" s="157"/>
      <c r="I12" s="157"/>
      <c r="J12" s="166"/>
      <c r="K12" s="159">
        <v>43709</v>
      </c>
      <c r="L12" s="157"/>
      <c r="M12" s="159">
        <v>43709</v>
      </c>
      <c r="N12" s="157"/>
      <c r="O12" s="159">
        <v>43709</v>
      </c>
      <c r="P12" s="159">
        <v>43709</v>
      </c>
      <c r="Q12" s="157" t="s">
        <v>549</v>
      </c>
      <c r="R12" s="178">
        <v>42871</v>
      </c>
      <c r="S12" s="157" t="s">
        <v>549</v>
      </c>
      <c r="T12" s="157"/>
      <c r="U12" s="157" t="s">
        <v>549</v>
      </c>
      <c r="V12" s="157"/>
      <c r="W12" s="157"/>
    </row>
    <row r="13" spans="1:23" ht="29" x14ac:dyDescent="0.35">
      <c r="A13" s="160" t="s">
        <v>165</v>
      </c>
      <c r="B13" s="161"/>
      <c r="C13" s="157"/>
      <c r="D13" s="162" t="s">
        <v>166</v>
      </c>
      <c r="E13" s="157"/>
      <c r="F13" s="157"/>
      <c r="G13" s="157"/>
      <c r="H13" s="157"/>
      <c r="I13" s="157"/>
      <c r="J13" s="157"/>
      <c r="K13" s="162" t="s">
        <v>166</v>
      </c>
      <c r="L13" s="157"/>
      <c r="M13" s="162" t="s">
        <v>166</v>
      </c>
      <c r="N13" s="157"/>
      <c r="O13" s="162" t="s">
        <v>166</v>
      </c>
      <c r="P13" s="162" t="s">
        <v>166</v>
      </c>
      <c r="Q13" s="157"/>
      <c r="R13" s="181" t="s">
        <v>374</v>
      </c>
      <c r="S13" s="157"/>
      <c r="T13" s="157"/>
      <c r="U13" s="157"/>
      <c r="V13" s="157"/>
      <c r="W13" s="157"/>
    </row>
    <row r="14" spans="1:23" x14ac:dyDescent="0.35">
      <c r="A14" s="225" t="s">
        <v>167</v>
      </c>
      <c r="B14" s="225"/>
      <c r="C14" s="225">
        <f>IFERROR(C11-C10,"")</f>
        <v>15757</v>
      </c>
      <c r="D14" s="225">
        <f t="shared" ref="D14:W14" si="0">IFERROR(D11-D10,"")</f>
        <v>0</v>
      </c>
      <c r="E14" s="225">
        <f t="shared" si="0"/>
        <v>0</v>
      </c>
      <c r="F14" s="225" t="str">
        <f t="shared" si="0"/>
        <v/>
      </c>
      <c r="G14" s="225">
        <f t="shared" si="0"/>
        <v>15757</v>
      </c>
      <c r="H14" s="225">
        <f t="shared" si="0"/>
        <v>0</v>
      </c>
      <c r="I14" s="225">
        <f t="shared" si="0"/>
        <v>0</v>
      </c>
      <c r="J14" s="225">
        <f t="shared" si="0"/>
        <v>0</v>
      </c>
      <c r="K14" s="225">
        <f t="shared" si="0"/>
        <v>8220</v>
      </c>
      <c r="L14" s="225">
        <f t="shared" si="0"/>
        <v>0</v>
      </c>
      <c r="M14" s="225">
        <f t="shared" si="0"/>
        <v>8220</v>
      </c>
      <c r="N14" s="225">
        <f t="shared" si="0"/>
        <v>0</v>
      </c>
      <c r="O14" s="225">
        <f t="shared" si="0"/>
        <v>8220</v>
      </c>
      <c r="P14" s="225">
        <f t="shared" si="0"/>
        <v>8220</v>
      </c>
      <c r="Q14" s="225">
        <f t="shared" si="0"/>
        <v>15757</v>
      </c>
      <c r="R14" s="225">
        <f t="shared" si="0"/>
        <v>0</v>
      </c>
      <c r="S14" s="225">
        <f t="shared" si="0"/>
        <v>15757</v>
      </c>
      <c r="T14" s="225">
        <f t="shared" si="0"/>
        <v>0</v>
      </c>
      <c r="U14" s="225">
        <f t="shared" si="0"/>
        <v>15757</v>
      </c>
      <c r="V14" s="225">
        <f t="shared" si="0"/>
        <v>0</v>
      </c>
      <c r="W14" s="225">
        <f t="shared" si="0"/>
        <v>0</v>
      </c>
    </row>
    <row r="15" spans="1:23" ht="16.399999999999999" customHeight="1" x14ac:dyDescent="0.35">
      <c r="A15" s="65" t="s">
        <v>2</v>
      </c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</row>
    <row r="16" spans="1:23" x14ac:dyDescent="0.35">
      <c r="A16" s="150" t="s">
        <v>159</v>
      </c>
      <c r="B16" s="151"/>
      <c r="C16" s="163"/>
      <c r="D16" s="152">
        <v>43770</v>
      </c>
      <c r="E16" s="154"/>
      <c r="F16" s="154"/>
      <c r="G16" s="154"/>
      <c r="H16" s="154"/>
      <c r="I16" s="154"/>
      <c r="J16" s="152"/>
      <c r="K16" s="154"/>
      <c r="L16" s="154"/>
      <c r="M16" s="154"/>
      <c r="N16" s="152"/>
      <c r="O16" s="152"/>
      <c r="P16" s="154"/>
      <c r="Q16" s="154"/>
      <c r="R16" s="178">
        <v>42871</v>
      </c>
      <c r="S16" s="154"/>
      <c r="T16" s="154"/>
      <c r="U16" s="154"/>
      <c r="V16" s="154"/>
      <c r="W16" s="154"/>
    </row>
    <row r="17" spans="1:23" x14ac:dyDescent="0.35">
      <c r="A17" s="155" t="s">
        <v>161</v>
      </c>
      <c r="B17" s="156" t="s">
        <v>162</v>
      </c>
      <c r="C17" s="165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72"/>
      <c r="S17" s="157"/>
      <c r="T17" s="157"/>
      <c r="U17" s="157"/>
      <c r="V17" s="157"/>
      <c r="W17" s="157"/>
    </row>
    <row r="18" spans="1:23" x14ac:dyDescent="0.35">
      <c r="A18" s="155" t="s">
        <v>161</v>
      </c>
      <c r="B18" s="156" t="s">
        <v>163</v>
      </c>
      <c r="C18" s="165"/>
      <c r="D18" s="157">
        <v>15757</v>
      </c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8">
        <v>8220</v>
      </c>
      <c r="S18" s="157"/>
      <c r="T18" s="157"/>
      <c r="U18" s="157"/>
      <c r="V18" s="157"/>
      <c r="W18" s="157"/>
    </row>
    <row r="19" spans="1:23" x14ac:dyDescent="0.35">
      <c r="A19" s="155" t="s">
        <v>164</v>
      </c>
      <c r="B19" s="156"/>
      <c r="C19" s="165"/>
      <c r="D19" s="157" t="s">
        <v>544</v>
      </c>
      <c r="E19" s="157"/>
      <c r="F19" s="157"/>
      <c r="G19" s="157"/>
      <c r="H19" s="157"/>
      <c r="I19" s="157"/>
      <c r="J19" s="166"/>
      <c r="K19" s="157"/>
      <c r="L19" s="157"/>
      <c r="M19" s="157"/>
      <c r="N19" s="157"/>
      <c r="O19" s="157"/>
      <c r="P19" s="157"/>
      <c r="Q19" s="157"/>
      <c r="R19" s="159">
        <v>43709</v>
      </c>
      <c r="S19" s="157"/>
      <c r="T19" s="157"/>
      <c r="U19" s="157"/>
      <c r="V19" s="157"/>
      <c r="W19" s="157"/>
    </row>
    <row r="20" spans="1:23" ht="29" x14ac:dyDescent="0.35">
      <c r="A20" s="160" t="s">
        <v>165</v>
      </c>
      <c r="B20" s="167"/>
      <c r="C20" s="165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62" t="s">
        <v>166</v>
      </c>
      <c r="S20" s="157"/>
      <c r="T20" s="157"/>
      <c r="U20" s="157"/>
      <c r="V20" s="157"/>
      <c r="W20" s="157"/>
    </row>
    <row r="21" spans="1:23" x14ac:dyDescent="0.35">
      <c r="A21" s="225" t="s">
        <v>167</v>
      </c>
      <c r="B21" s="225"/>
      <c r="C21" s="225">
        <f>IFERROR(C18-C17,"")</f>
        <v>0</v>
      </c>
      <c r="D21" s="225">
        <f t="shared" ref="D21:W21" si="1">IFERROR(D18-D17,"")</f>
        <v>15757</v>
      </c>
      <c r="E21" s="225">
        <f t="shared" si="1"/>
        <v>0</v>
      </c>
      <c r="F21" s="225">
        <f t="shared" si="1"/>
        <v>0</v>
      </c>
      <c r="G21" s="225">
        <f t="shared" si="1"/>
        <v>0</v>
      </c>
      <c r="H21" s="225">
        <f t="shared" si="1"/>
        <v>0</v>
      </c>
      <c r="I21" s="225">
        <f t="shared" si="1"/>
        <v>0</v>
      </c>
      <c r="J21" s="225">
        <f t="shared" si="1"/>
        <v>0</v>
      </c>
      <c r="K21" s="225">
        <f t="shared" si="1"/>
        <v>0</v>
      </c>
      <c r="L21" s="225">
        <f t="shared" si="1"/>
        <v>0</v>
      </c>
      <c r="M21" s="225">
        <f t="shared" si="1"/>
        <v>0</v>
      </c>
      <c r="N21" s="225">
        <f t="shared" si="1"/>
        <v>0</v>
      </c>
      <c r="O21" s="225">
        <f t="shared" si="1"/>
        <v>0</v>
      </c>
      <c r="P21" s="225">
        <f t="shared" si="1"/>
        <v>0</v>
      </c>
      <c r="Q21" s="225">
        <f t="shared" si="1"/>
        <v>0</v>
      </c>
      <c r="R21" s="225">
        <f t="shared" si="1"/>
        <v>8220</v>
      </c>
      <c r="S21" s="225">
        <f t="shared" si="1"/>
        <v>0</v>
      </c>
      <c r="T21" s="225">
        <f t="shared" si="1"/>
        <v>0</v>
      </c>
      <c r="U21" s="225">
        <f t="shared" si="1"/>
        <v>0</v>
      </c>
      <c r="V21" s="225">
        <f t="shared" si="1"/>
        <v>0</v>
      </c>
      <c r="W21" s="225">
        <f t="shared" si="1"/>
        <v>0</v>
      </c>
    </row>
    <row r="22" spans="1:23" ht="16.399999999999999" customHeight="1" x14ac:dyDescent="0.35">
      <c r="A22" s="65" t="s">
        <v>2</v>
      </c>
      <c r="B22" s="65"/>
      <c r="C22" s="65">
        <f>AVERAGE(C14,C21)</f>
        <v>7878.5</v>
      </c>
      <c r="D22" s="65">
        <f t="shared" ref="D22:W22" si="2">AVERAGE(D14,D21)</f>
        <v>7878.5</v>
      </c>
      <c r="E22" s="65">
        <f t="shared" si="2"/>
        <v>0</v>
      </c>
      <c r="F22" s="65">
        <f t="shared" si="2"/>
        <v>0</v>
      </c>
      <c r="G22" s="65">
        <f t="shared" si="2"/>
        <v>7878.5</v>
      </c>
      <c r="H22" s="65">
        <f t="shared" si="2"/>
        <v>0</v>
      </c>
      <c r="I22" s="65">
        <f t="shared" si="2"/>
        <v>0</v>
      </c>
      <c r="J22" s="65">
        <f t="shared" si="2"/>
        <v>0</v>
      </c>
      <c r="K22" s="65">
        <f t="shared" si="2"/>
        <v>4110</v>
      </c>
      <c r="L22" s="65">
        <f t="shared" si="2"/>
        <v>0</v>
      </c>
      <c r="M22" s="65">
        <f t="shared" si="2"/>
        <v>4110</v>
      </c>
      <c r="N22" s="65">
        <f t="shared" si="2"/>
        <v>0</v>
      </c>
      <c r="O22" s="65">
        <f t="shared" si="2"/>
        <v>4110</v>
      </c>
      <c r="P22" s="65">
        <f t="shared" si="2"/>
        <v>4110</v>
      </c>
      <c r="Q22" s="65">
        <f t="shared" si="2"/>
        <v>7878.5</v>
      </c>
      <c r="R22" s="65">
        <f t="shared" si="2"/>
        <v>4110</v>
      </c>
      <c r="S22" s="65">
        <f t="shared" si="2"/>
        <v>7878.5</v>
      </c>
      <c r="T22" s="65">
        <f t="shared" si="2"/>
        <v>0</v>
      </c>
      <c r="U22" s="65">
        <f t="shared" si="2"/>
        <v>7878.5</v>
      </c>
      <c r="V22" s="65">
        <f t="shared" si="2"/>
        <v>0</v>
      </c>
      <c r="W22" s="65">
        <f t="shared" si="2"/>
        <v>0</v>
      </c>
    </row>
    <row r="23" spans="1:23" x14ac:dyDescent="0.35">
      <c r="A23" s="150" t="s">
        <v>159</v>
      </c>
      <c r="B23" s="151"/>
      <c r="C23" s="163"/>
      <c r="D23" s="154"/>
      <c r="E23" s="154"/>
      <c r="F23" s="154"/>
      <c r="G23" s="154"/>
      <c r="H23" s="154"/>
      <c r="I23" s="154"/>
      <c r="J23" s="152"/>
      <c r="K23" s="154"/>
      <c r="L23" s="154"/>
      <c r="M23" s="154"/>
      <c r="N23" s="152"/>
      <c r="O23" s="152"/>
      <c r="P23" s="154"/>
      <c r="Q23" s="168"/>
      <c r="R23" s="152">
        <v>43709</v>
      </c>
      <c r="S23" s="154"/>
      <c r="T23" s="154"/>
      <c r="U23" s="154"/>
      <c r="V23" s="154"/>
      <c r="W23" s="154"/>
    </row>
    <row r="24" spans="1:23" x14ac:dyDescent="0.35">
      <c r="A24" s="155" t="s">
        <v>161</v>
      </c>
      <c r="B24" s="156" t="s">
        <v>162</v>
      </c>
      <c r="C24" s="165"/>
      <c r="D24" s="157"/>
      <c r="E24" s="157"/>
      <c r="F24" s="157"/>
      <c r="G24" s="157"/>
      <c r="H24" s="157"/>
      <c r="I24" s="157"/>
      <c r="J24" s="157"/>
      <c r="K24" s="157"/>
      <c r="L24" s="157"/>
      <c r="M24" s="157"/>
      <c r="N24" s="157"/>
      <c r="O24" s="157"/>
      <c r="P24" s="157"/>
      <c r="Q24" s="157"/>
      <c r="R24" s="157">
        <v>8220</v>
      </c>
      <c r="S24" s="157"/>
      <c r="T24" s="157"/>
      <c r="U24" s="157"/>
      <c r="V24" s="157"/>
      <c r="W24" s="157"/>
    </row>
    <row r="25" spans="1:23" x14ac:dyDescent="0.35">
      <c r="A25" s="155" t="s">
        <v>161</v>
      </c>
      <c r="B25" s="156" t="s">
        <v>163</v>
      </c>
      <c r="C25" s="165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>
        <v>15757</v>
      </c>
      <c r="S25" s="157"/>
      <c r="T25" s="157"/>
      <c r="U25" s="157"/>
      <c r="V25" s="157"/>
      <c r="W25" s="157"/>
    </row>
    <row r="26" spans="1:23" x14ac:dyDescent="0.35">
      <c r="A26" s="155" t="s">
        <v>164</v>
      </c>
      <c r="B26" s="156"/>
      <c r="C26" s="165"/>
      <c r="D26" s="157"/>
      <c r="E26" s="157"/>
      <c r="F26" s="157"/>
      <c r="G26" s="157"/>
      <c r="H26" s="157"/>
      <c r="I26" s="157"/>
      <c r="J26" s="166"/>
      <c r="K26" s="157"/>
      <c r="L26" s="157"/>
      <c r="M26" s="157"/>
      <c r="N26" s="157"/>
      <c r="O26" s="157"/>
      <c r="P26" s="157"/>
      <c r="Q26" s="157"/>
      <c r="R26" s="157" t="s">
        <v>549</v>
      </c>
      <c r="S26" s="157"/>
      <c r="T26" s="157"/>
      <c r="U26" s="157"/>
      <c r="V26" s="157"/>
      <c r="W26" s="157"/>
    </row>
    <row r="27" spans="1:23" x14ac:dyDescent="0.35">
      <c r="A27" s="160" t="s">
        <v>165</v>
      </c>
      <c r="B27" s="167"/>
      <c r="C27" s="165"/>
      <c r="D27" s="157"/>
      <c r="E27" s="157"/>
      <c r="F27" s="157"/>
      <c r="G27" s="157"/>
      <c r="H27" s="157"/>
      <c r="I27" s="157"/>
      <c r="J27" s="157"/>
      <c r="K27" s="157"/>
      <c r="L27" s="157"/>
      <c r="M27" s="157"/>
      <c r="N27" s="157"/>
      <c r="O27" s="157"/>
      <c r="P27" s="157"/>
      <c r="Q27" s="157"/>
      <c r="R27" s="157"/>
      <c r="S27" s="157"/>
      <c r="T27" s="157"/>
      <c r="U27" s="157"/>
      <c r="V27" s="157"/>
      <c r="W27" s="157"/>
    </row>
    <row r="28" spans="1:23" x14ac:dyDescent="0.35">
      <c r="A28" s="225" t="s">
        <v>167</v>
      </c>
      <c r="B28" s="225"/>
      <c r="C28" s="225">
        <f>IFERROR(C25-C24,"")</f>
        <v>0</v>
      </c>
      <c r="D28" s="225">
        <f t="shared" ref="D28:W28" si="3">IFERROR(D25-D24,"")</f>
        <v>0</v>
      </c>
      <c r="E28" s="225">
        <f t="shared" si="3"/>
        <v>0</v>
      </c>
      <c r="F28" s="225">
        <f t="shared" si="3"/>
        <v>0</v>
      </c>
      <c r="G28" s="225">
        <f t="shared" si="3"/>
        <v>0</v>
      </c>
      <c r="H28" s="225">
        <f t="shared" si="3"/>
        <v>0</v>
      </c>
      <c r="I28" s="225">
        <f t="shared" si="3"/>
        <v>0</v>
      </c>
      <c r="J28" s="225">
        <f t="shared" si="3"/>
        <v>0</v>
      </c>
      <c r="K28" s="225">
        <f t="shared" si="3"/>
        <v>0</v>
      </c>
      <c r="L28" s="225">
        <f t="shared" si="3"/>
        <v>0</v>
      </c>
      <c r="M28" s="225">
        <f t="shared" si="3"/>
        <v>0</v>
      </c>
      <c r="N28" s="225">
        <f t="shared" si="3"/>
        <v>0</v>
      </c>
      <c r="O28" s="225">
        <f t="shared" si="3"/>
        <v>0</v>
      </c>
      <c r="P28" s="225">
        <f t="shared" si="3"/>
        <v>0</v>
      </c>
      <c r="Q28" s="225">
        <f t="shared" si="3"/>
        <v>0</v>
      </c>
      <c r="R28" s="225">
        <f t="shared" si="3"/>
        <v>7537</v>
      </c>
      <c r="S28" s="225">
        <f t="shared" si="3"/>
        <v>0</v>
      </c>
      <c r="T28" s="225">
        <f t="shared" si="3"/>
        <v>0</v>
      </c>
      <c r="U28" s="225">
        <f t="shared" si="3"/>
        <v>0</v>
      </c>
      <c r="V28" s="225">
        <f t="shared" si="3"/>
        <v>0</v>
      </c>
      <c r="W28" s="225">
        <f t="shared" si="3"/>
        <v>0</v>
      </c>
    </row>
    <row r="29" spans="1:23" ht="16.399999999999999" customHeight="1" x14ac:dyDescent="0.35">
      <c r="A29" s="65" t="s">
        <v>2</v>
      </c>
      <c r="B29" s="65"/>
      <c r="C29" s="65">
        <f>AVERAGE(C21,C28,C14)</f>
        <v>5252.333333333333</v>
      </c>
      <c r="D29" s="65">
        <f t="shared" ref="D29:W29" si="4">AVERAGE(D21,D28,D14)</f>
        <v>5252.333333333333</v>
      </c>
      <c r="E29" s="65">
        <f t="shared" si="4"/>
        <v>0</v>
      </c>
      <c r="F29" s="65">
        <f t="shared" si="4"/>
        <v>0</v>
      </c>
      <c r="G29" s="65">
        <f t="shared" si="4"/>
        <v>5252.333333333333</v>
      </c>
      <c r="H29" s="65">
        <f t="shared" si="4"/>
        <v>0</v>
      </c>
      <c r="I29" s="65">
        <f t="shared" si="4"/>
        <v>0</v>
      </c>
      <c r="J29" s="65">
        <f t="shared" si="4"/>
        <v>0</v>
      </c>
      <c r="K29" s="65">
        <f t="shared" si="4"/>
        <v>2740</v>
      </c>
      <c r="L29" s="65">
        <f t="shared" si="4"/>
        <v>0</v>
      </c>
      <c r="M29" s="65">
        <f t="shared" si="4"/>
        <v>2740</v>
      </c>
      <c r="N29" s="65">
        <f t="shared" si="4"/>
        <v>0</v>
      </c>
      <c r="O29" s="65">
        <f t="shared" si="4"/>
        <v>2740</v>
      </c>
      <c r="P29" s="65">
        <f t="shared" si="4"/>
        <v>2740</v>
      </c>
      <c r="Q29" s="65">
        <f t="shared" si="4"/>
        <v>5252.333333333333</v>
      </c>
      <c r="R29" s="65">
        <f t="shared" si="4"/>
        <v>5252.333333333333</v>
      </c>
      <c r="S29" s="65">
        <f t="shared" si="4"/>
        <v>5252.333333333333</v>
      </c>
      <c r="T29" s="65">
        <f t="shared" si="4"/>
        <v>0</v>
      </c>
      <c r="U29" s="65">
        <f t="shared" si="4"/>
        <v>5252.333333333333</v>
      </c>
      <c r="V29" s="65">
        <f t="shared" si="4"/>
        <v>0</v>
      </c>
      <c r="W29" s="65">
        <f t="shared" si="4"/>
        <v>0</v>
      </c>
    </row>
    <row r="30" spans="1:23" x14ac:dyDescent="0.35">
      <c r="A30" s="150" t="s">
        <v>159</v>
      </c>
      <c r="B30" s="151"/>
      <c r="C30" s="163"/>
      <c r="D30" s="154"/>
      <c r="E30" s="154"/>
      <c r="F30" s="154"/>
      <c r="G30" s="154"/>
      <c r="H30" s="154"/>
      <c r="I30" s="154"/>
      <c r="J30" s="152"/>
      <c r="K30" s="154"/>
      <c r="L30" s="154"/>
      <c r="M30" s="154"/>
      <c r="N30" s="152"/>
      <c r="O30" s="152"/>
      <c r="P30" s="154"/>
      <c r="Q30" s="154"/>
      <c r="R30" s="154"/>
      <c r="S30" s="154"/>
      <c r="T30" s="154"/>
      <c r="U30" s="154"/>
      <c r="V30" s="154"/>
      <c r="W30" s="154"/>
    </row>
    <row r="31" spans="1:23" x14ac:dyDescent="0.35">
      <c r="A31" s="155" t="s">
        <v>161</v>
      </c>
      <c r="B31" s="156" t="s">
        <v>162</v>
      </c>
      <c r="C31" s="165"/>
      <c r="D31" s="157"/>
      <c r="E31" s="157"/>
      <c r="F31" s="157"/>
      <c r="G31" s="157"/>
      <c r="H31" s="157"/>
      <c r="I31" s="157"/>
      <c r="J31" s="157"/>
      <c r="K31" s="157"/>
      <c r="L31" s="157"/>
      <c r="M31" s="157"/>
      <c r="N31" s="157"/>
      <c r="O31" s="157"/>
      <c r="P31" s="157"/>
      <c r="Q31" s="157"/>
      <c r="R31" s="157"/>
      <c r="S31" s="157"/>
      <c r="T31" s="157"/>
      <c r="U31" s="157"/>
      <c r="V31" s="157"/>
      <c r="W31" s="157"/>
    </row>
    <row r="32" spans="1:23" x14ac:dyDescent="0.35">
      <c r="A32" s="155" t="s">
        <v>161</v>
      </c>
      <c r="B32" s="156" t="s">
        <v>163</v>
      </c>
      <c r="C32" s="165"/>
      <c r="D32" s="157"/>
      <c r="E32" s="157"/>
      <c r="F32" s="157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7"/>
      <c r="W32" s="157"/>
    </row>
    <row r="33" spans="1:23" x14ac:dyDescent="0.35">
      <c r="A33" s="155" t="s">
        <v>164</v>
      </c>
      <c r="B33" s="156"/>
      <c r="C33" s="165"/>
      <c r="D33" s="157"/>
      <c r="E33" s="157"/>
      <c r="F33" s="157"/>
      <c r="G33" s="157"/>
      <c r="H33" s="157"/>
      <c r="I33" s="157"/>
      <c r="J33" s="166"/>
      <c r="K33" s="157"/>
      <c r="L33" s="157"/>
      <c r="M33" s="157"/>
      <c r="N33" s="157"/>
      <c r="O33" s="157"/>
      <c r="P33" s="157"/>
      <c r="Q33" s="157"/>
      <c r="R33" s="157"/>
      <c r="S33" s="157"/>
      <c r="T33" s="157"/>
      <c r="U33" s="157"/>
      <c r="V33" s="157"/>
      <c r="W33" s="157"/>
    </row>
    <row r="34" spans="1:23" x14ac:dyDescent="0.35">
      <c r="A34" s="160" t="s">
        <v>165</v>
      </c>
      <c r="B34" s="167"/>
      <c r="C34" s="165"/>
      <c r="D34" s="157"/>
      <c r="E34" s="157"/>
      <c r="F34" s="157"/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157"/>
      <c r="R34" s="157"/>
      <c r="S34" s="157"/>
      <c r="T34" s="157"/>
      <c r="U34" s="157"/>
      <c r="V34" s="157"/>
      <c r="W34" s="157"/>
    </row>
    <row r="35" spans="1:23" x14ac:dyDescent="0.35">
      <c r="A35" s="225" t="s">
        <v>167</v>
      </c>
      <c r="B35" s="225"/>
      <c r="C35" s="225">
        <f>IFERROR(C32-C31,"")</f>
        <v>0</v>
      </c>
      <c r="D35" s="225">
        <f t="shared" ref="D35:W35" si="5">IFERROR(D32-D31,"")</f>
        <v>0</v>
      </c>
      <c r="E35" s="225">
        <f t="shared" si="5"/>
        <v>0</v>
      </c>
      <c r="F35" s="225">
        <f t="shared" si="5"/>
        <v>0</v>
      </c>
      <c r="G35" s="225">
        <f t="shared" si="5"/>
        <v>0</v>
      </c>
      <c r="H35" s="225">
        <f t="shared" si="5"/>
        <v>0</v>
      </c>
      <c r="I35" s="225">
        <f t="shared" si="5"/>
        <v>0</v>
      </c>
      <c r="J35" s="225">
        <f t="shared" si="5"/>
        <v>0</v>
      </c>
      <c r="K35" s="225">
        <f t="shared" si="5"/>
        <v>0</v>
      </c>
      <c r="L35" s="225">
        <f t="shared" si="5"/>
        <v>0</v>
      </c>
      <c r="M35" s="225">
        <f t="shared" si="5"/>
        <v>0</v>
      </c>
      <c r="N35" s="225">
        <f t="shared" si="5"/>
        <v>0</v>
      </c>
      <c r="O35" s="225">
        <f t="shared" si="5"/>
        <v>0</v>
      </c>
      <c r="P35" s="225">
        <f t="shared" si="5"/>
        <v>0</v>
      </c>
      <c r="Q35" s="225">
        <f t="shared" si="5"/>
        <v>0</v>
      </c>
      <c r="R35" s="225">
        <f t="shared" si="5"/>
        <v>0</v>
      </c>
      <c r="S35" s="225">
        <f t="shared" si="5"/>
        <v>0</v>
      </c>
      <c r="T35" s="225">
        <f t="shared" si="5"/>
        <v>0</v>
      </c>
      <c r="U35" s="225">
        <f t="shared" si="5"/>
        <v>0</v>
      </c>
      <c r="V35" s="225">
        <f t="shared" si="5"/>
        <v>0</v>
      </c>
      <c r="W35" s="225">
        <f t="shared" si="5"/>
        <v>0</v>
      </c>
    </row>
    <row r="36" spans="1:23" ht="16.399999999999999" customHeight="1" x14ac:dyDescent="0.35">
      <c r="A36" s="65" t="s">
        <v>2</v>
      </c>
      <c r="B36" s="65"/>
      <c r="C36" s="65">
        <f>AVERAGE(C28,C35,C21,C14)</f>
        <v>3939.25</v>
      </c>
      <c r="D36" s="65">
        <f t="shared" ref="D36:W36" si="6">AVERAGE(D28,D35,D21,D14)</f>
        <v>3939.25</v>
      </c>
      <c r="E36" s="65">
        <f t="shared" si="6"/>
        <v>0</v>
      </c>
      <c r="F36" s="65">
        <f t="shared" si="6"/>
        <v>0</v>
      </c>
      <c r="G36" s="65">
        <f t="shared" si="6"/>
        <v>3939.25</v>
      </c>
      <c r="H36" s="65">
        <f t="shared" si="6"/>
        <v>0</v>
      </c>
      <c r="I36" s="65">
        <f t="shared" si="6"/>
        <v>0</v>
      </c>
      <c r="J36" s="65">
        <f t="shared" si="6"/>
        <v>0</v>
      </c>
      <c r="K36" s="65">
        <f t="shared" si="6"/>
        <v>2055</v>
      </c>
      <c r="L36" s="65">
        <f t="shared" si="6"/>
        <v>0</v>
      </c>
      <c r="M36" s="65">
        <f t="shared" si="6"/>
        <v>2055</v>
      </c>
      <c r="N36" s="65">
        <f t="shared" si="6"/>
        <v>0</v>
      </c>
      <c r="O36" s="65">
        <f t="shared" si="6"/>
        <v>2055</v>
      </c>
      <c r="P36" s="65">
        <f t="shared" si="6"/>
        <v>2055</v>
      </c>
      <c r="Q36" s="65">
        <f t="shared" si="6"/>
        <v>3939.25</v>
      </c>
      <c r="R36" s="65">
        <f t="shared" si="6"/>
        <v>3939.25</v>
      </c>
      <c r="S36" s="65">
        <f t="shared" si="6"/>
        <v>3939.25</v>
      </c>
      <c r="T36" s="65">
        <f t="shared" si="6"/>
        <v>0</v>
      </c>
      <c r="U36" s="65">
        <f t="shared" si="6"/>
        <v>3939.25</v>
      </c>
      <c r="V36" s="65">
        <f t="shared" si="6"/>
        <v>0</v>
      </c>
      <c r="W36" s="65">
        <f t="shared" si="6"/>
        <v>0</v>
      </c>
    </row>
    <row r="37" spans="1:23" x14ac:dyDescent="0.35">
      <c r="A37" s="150" t="s">
        <v>159</v>
      </c>
      <c r="B37" s="151"/>
      <c r="C37" s="163"/>
      <c r="D37" s="154"/>
      <c r="E37" s="154"/>
      <c r="F37" s="154"/>
      <c r="G37" s="154"/>
      <c r="H37" s="154"/>
      <c r="I37" s="154"/>
      <c r="J37" s="152"/>
      <c r="K37" s="154"/>
      <c r="L37" s="154"/>
      <c r="M37" s="154"/>
      <c r="N37" s="152"/>
      <c r="O37" s="152"/>
      <c r="P37" s="154"/>
      <c r="Q37" s="154"/>
      <c r="R37" s="154"/>
      <c r="S37" s="154"/>
      <c r="T37" s="154"/>
      <c r="U37" s="154"/>
      <c r="V37" s="154"/>
      <c r="W37" s="154"/>
    </row>
    <row r="38" spans="1:23" x14ac:dyDescent="0.35">
      <c r="A38" s="155" t="s">
        <v>161</v>
      </c>
      <c r="B38" s="156" t="s">
        <v>162</v>
      </c>
      <c r="C38" s="165"/>
      <c r="D38" s="157"/>
      <c r="E38" s="157"/>
      <c r="F38" s="157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7"/>
      <c r="W38" s="157"/>
    </row>
    <row r="39" spans="1:23" x14ac:dyDescent="0.35">
      <c r="A39" s="155" t="s">
        <v>161</v>
      </c>
      <c r="B39" s="156" t="s">
        <v>163</v>
      </c>
      <c r="C39" s="165"/>
      <c r="D39" s="157"/>
      <c r="E39" s="157"/>
      <c r="F39" s="157"/>
      <c r="G39" s="157"/>
      <c r="H39" s="157"/>
      <c r="I39" s="157"/>
      <c r="J39" s="157"/>
      <c r="K39" s="157"/>
      <c r="L39" s="157"/>
      <c r="M39" s="157"/>
      <c r="N39" s="157"/>
      <c r="O39" s="157"/>
      <c r="P39" s="157"/>
      <c r="Q39" s="157"/>
      <c r="R39" s="157"/>
      <c r="S39" s="157"/>
      <c r="T39" s="157"/>
      <c r="U39" s="157"/>
      <c r="V39" s="157"/>
      <c r="W39" s="157"/>
    </row>
    <row r="40" spans="1:23" x14ac:dyDescent="0.35">
      <c r="A40" s="155" t="s">
        <v>164</v>
      </c>
      <c r="B40" s="156"/>
      <c r="C40" s="165"/>
      <c r="D40" s="157"/>
      <c r="E40" s="157"/>
      <c r="F40" s="157"/>
      <c r="G40" s="157"/>
      <c r="H40" s="157"/>
      <c r="I40" s="157"/>
      <c r="J40" s="166"/>
      <c r="K40" s="157"/>
      <c r="L40" s="157"/>
      <c r="M40" s="157"/>
      <c r="N40" s="157"/>
      <c r="O40" s="157"/>
      <c r="P40" s="157"/>
      <c r="Q40" s="157"/>
      <c r="R40" s="157"/>
      <c r="S40" s="157"/>
      <c r="T40" s="157"/>
      <c r="U40" s="157"/>
      <c r="V40" s="157"/>
      <c r="W40" s="157"/>
    </row>
    <row r="41" spans="1:23" x14ac:dyDescent="0.35">
      <c r="A41" s="160" t="s">
        <v>165</v>
      </c>
      <c r="B41" s="167"/>
      <c r="C41" s="165"/>
      <c r="D41" s="157"/>
      <c r="E41" s="157"/>
      <c r="F41" s="157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7"/>
      <c r="W41" s="157"/>
    </row>
    <row r="42" spans="1:23" x14ac:dyDescent="0.35">
      <c r="A42" s="225" t="s">
        <v>167</v>
      </c>
      <c r="B42" s="225"/>
      <c r="C42" s="225">
        <f>IFERROR(C39-C38,"")</f>
        <v>0</v>
      </c>
      <c r="D42" s="225">
        <f t="shared" ref="D42:W42" si="7">IFERROR(D39-D38,"")</f>
        <v>0</v>
      </c>
      <c r="E42" s="225">
        <f t="shared" si="7"/>
        <v>0</v>
      </c>
      <c r="F42" s="225">
        <f t="shared" si="7"/>
        <v>0</v>
      </c>
      <c r="G42" s="225">
        <f t="shared" si="7"/>
        <v>0</v>
      </c>
      <c r="H42" s="225">
        <f t="shared" si="7"/>
        <v>0</v>
      </c>
      <c r="I42" s="225">
        <f t="shared" si="7"/>
        <v>0</v>
      </c>
      <c r="J42" s="225">
        <f t="shared" si="7"/>
        <v>0</v>
      </c>
      <c r="K42" s="225">
        <f t="shared" si="7"/>
        <v>0</v>
      </c>
      <c r="L42" s="225">
        <f t="shared" si="7"/>
        <v>0</v>
      </c>
      <c r="M42" s="225">
        <f t="shared" si="7"/>
        <v>0</v>
      </c>
      <c r="N42" s="225">
        <f t="shared" si="7"/>
        <v>0</v>
      </c>
      <c r="O42" s="225">
        <f t="shared" si="7"/>
        <v>0</v>
      </c>
      <c r="P42" s="225">
        <f t="shared" si="7"/>
        <v>0</v>
      </c>
      <c r="Q42" s="225">
        <f t="shared" si="7"/>
        <v>0</v>
      </c>
      <c r="R42" s="225">
        <f t="shared" si="7"/>
        <v>0</v>
      </c>
      <c r="S42" s="225">
        <f t="shared" si="7"/>
        <v>0</v>
      </c>
      <c r="T42" s="225">
        <f t="shared" si="7"/>
        <v>0</v>
      </c>
      <c r="U42" s="225">
        <f t="shared" si="7"/>
        <v>0</v>
      </c>
      <c r="V42" s="225">
        <f t="shared" si="7"/>
        <v>0</v>
      </c>
      <c r="W42" s="225">
        <f t="shared" si="7"/>
        <v>0</v>
      </c>
    </row>
    <row r="43" spans="1:23" ht="16.399999999999999" customHeight="1" x14ac:dyDescent="0.35">
      <c r="A43" s="65" t="s">
        <v>2</v>
      </c>
      <c r="B43" s="65"/>
      <c r="C43" s="65">
        <f>AVERAGE(C35,C42,C28,C21,C14)</f>
        <v>3151.4</v>
      </c>
      <c r="D43" s="65">
        <f t="shared" ref="D43:W43" si="8">AVERAGE(D35,D42,D28,D21,D14)</f>
        <v>3151.4</v>
      </c>
      <c r="E43" s="65">
        <f t="shared" si="8"/>
        <v>0</v>
      </c>
      <c r="F43" s="65">
        <f t="shared" si="8"/>
        <v>0</v>
      </c>
      <c r="G43" s="65">
        <f t="shared" si="8"/>
        <v>3151.4</v>
      </c>
      <c r="H43" s="65">
        <f t="shared" si="8"/>
        <v>0</v>
      </c>
      <c r="I43" s="65">
        <f t="shared" si="8"/>
        <v>0</v>
      </c>
      <c r="J43" s="65">
        <f t="shared" si="8"/>
        <v>0</v>
      </c>
      <c r="K43" s="65">
        <f t="shared" si="8"/>
        <v>1644</v>
      </c>
      <c r="L43" s="65">
        <f t="shared" si="8"/>
        <v>0</v>
      </c>
      <c r="M43" s="65">
        <f t="shared" si="8"/>
        <v>1644</v>
      </c>
      <c r="N43" s="65">
        <f t="shared" si="8"/>
        <v>0</v>
      </c>
      <c r="O43" s="65">
        <f t="shared" si="8"/>
        <v>1644</v>
      </c>
      <c r="P43" s="65">
        <f t="shared" si="8"/>
        <v>1644</v>
      </c>
      <c r="Q43" s="65">
        <f t="shared" si="8"/>
        <v>3151.4</v>
      </c>
      <c r="R43" s="65">
        <f t="shared" si="8"/>
        <v>3151.4</v>
      </c>
      <c r="S43" s="65">
        <f t="shared" si="8"/>
        <v>3151.4</v>
      </c>
      <c r="T43" s="65">
        <f t="shared" si="8"/>
        <v>0</v>
      </c>
      <c r="U43" s="65">
        <f t="shared" si="8"/>
        <v>3151.4</v>
      </c>
      <c r="V43" s="65">
        <f t="shared" si="8"/>
        <v>0</v>
      </c>
      <c r="W43" s="65">
        <f t="shared" si="8"/>
        <v>0</v>
      </c>
    </row>
    <row r="44" spans="1:23" x14ac:dyDescent="0.35">
      <c r="A44" s="150" t="s">
        <v>159</v>
      </c>
      <c r="B44" s="151"/>
      <c r="C44" s="163"/>
      <c r="D44" s="154"/>
      <c r="E44" s="154"/>
      <c r="F44" s="154"/>
      <c r="G44" s="154"/>
      <c r="H44" s="154"/>
      <c r="I44" s="154"/>
      <c r="J44" s="152"/>
      <c r="K44" s="154"/>
      <c r="L44" s="154"/>
      <c r="M44" s="154"/>
      <c r="N44" s="152"/>
      <c r="O44" s="152"/>
      <c r="P44" s="154"/>
      <c r="Q44" s="154"/>
      <c r="R44" s="154"/>
      <c r="S44" s="154"/>
      <c r="T44" s="154"/>
      <c r="U44" s="154"/>
      <c r="V44" s="154"/>
      <c r="W44" s="154"/>
    </row>
    <row r="45" spans="1:23" x14ac:dyDescent="0.35">
      <c r="A45" s="155" t="s">
        <v>161</v>
      </c>
      <c r="B45" s="156" t="s">
        <v>162</v>
      </c>
      <c r="C45" s="165"/>
      <c r="D45" s="157"/>
      <c r="E45" s="157"/>
      <c r="F45" s="157"/>
      <c r="G45" s="157"/>
      <c r="H45" s="157"/>
      <c r="I45" s="157"/>
      <c r="J45" s="157"/>
      <c r="K45" s="157"/>
      <c r="L45" s="157"/>
      <c r="M45" s="157"/>
      <c r="N45" s="157"/>
      <c r="O45" s="157"/>
      <c r="P45" s="157"/>
      <c r="Q45" s="157"/>
      <c r="R45" s="157"/>
      <c r="S45" s="157"/>
      <c r="T45" s="157"/>
      <c r="U45" s="157"/>
      <c r="V45" s="157"/>
      <c r="W45" s="157"/>
    </row>
    <row r="46" spans="1:23" x14ac:dyDescent="0.35">
      <c r="A46" s="155" t="s">
        <v>161</v>
      </c>
      <c r="B46" s="156" t="s">
        <v>163</v>
      </c>
      <c r="C46" s="165"/>
      <c r="D46" s="157"/>
      <c r="E46" s="157"/>
      <c r="F46" s="157"/>
      <c r="G46" s="157"/>
      <c r="H46" s="157"/>
      <c r="I46" s="157"/>
      <c r="J46" s="157"/>
      <c r="K46" s="157"/>
      <c r="L46" s="157"/>
      <c r="M46" s="157"/>
      <c r="N46" s="157"/>
      <c r="O46" s="157"/>
      <c r="P46" s="157"/>
      <c r="Q46" s="157"/>
      <c r="R46" s="157"/>
      <c r="S46" s="157"/>
      <c r="T46" s="157"/>
      <c r="U46" s="157"/>
      <c r="V46" s="157"/>
      <c r="W46" s="157"/>
    </row>
    <row r="47" spans="1:23" x14ac:dyDescent="0.35">
      <c r="A47" s="155" t="s">
        <v>164</v>
      </c>
      <c r="B47" s="156"/>
      <c r="C47" s="165"/>
      <c r="D47" s="157"/>
      <c r="E47" s="157"/>
      <c r="F47" s="157"/>
      <c r="G47" s="157"/>
      <c r="H47" s="157"/>
      <c r="I47" s="157"/>
      <c r="J47" s="166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7"/>
      <c r="W47" s="157"/>
    </row>
    <row r="48" spans="1:23" x14ac:dyDescent="0.35">
      <c r="A48" s="160" t="s">
        <v>165</v>
      </c>
      <c r="B48" s="167"/>
      <c r="C48" s="165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7"/>
      <c r="S48" s="157"/>
      <c r="T48" s="157"/>
      <c r="U48" s="157"/>
      <c r="V48" s="157"/>
      <c r="W48" s="157"/>
    </row>
    <row r="49" spans="1:23" x14ac:dyDescent="0.35">
      <c r="A49" s="225" t="s">
        <v>167</v>
      </c>
      <c r="B49" s="225"/>
      <c r="C49" s="225">
        <f>IFERROR(C46-C45,"")</f>
        <v>0</v>
      </c>
      <c r="D49" s="225">
        <f t="shared" ref="D49:W49" si="9">IFERROR(D46-D45,"")</f>
        <v>0</v>
      </c>
      <c r="E49" s="225">
        <f t="shared" si="9"/>
        <v>0</v>
      </c>
      <c r="F49" s="225">
        <f t="shared" si="9"/>
        <v>0</v>
      </c>
      <c r="G49" s="225">
        <f t="shared" si="9"/>
        <v>0</v>
      </c>
      <c r="H49" s="225">
        <f t="shared" si="9"/>
        <v>0</v>
      </c>
      <c r="I49" s="225">
        <f t="shared" si="9"/>
        <v>0</v>
      </c>
      <c r="J49" s="225">
        <f t="shared" si="9"/>
        <v>0</v>
      </c>
      <c r="K49" s="225">
        <f t="shared" si="9"/>
        <v>0</v>
      </c>
      <c r="L49" s="225">
        <f t="shared" si="9"/>
        <v>0</v>
      </c>
      <c r="M49" s="225">
        <f t="shared" si="9"/>
        <v>0</v>
      </c>
      <c r="N49" s="225">
        <f t="shared" si="9"/>
        <v>0</v>
      </c>
      <c r="O49" s="225">
        <f t="shared" si="9"/>
        <v>0</v>
      </c>
      <c r="P49" s="225">
        <f t="shared" si="9"/>
        <v>0</v>
      </c>
      <c r="Q49" s="225">
        <f t="shared" si="9"/>
        <v>0</v>
      </c>
      <c r="R49" s="225">
        <f t="shared" si="9"/>
        <v>0</v>
      </c>
      <c r="S49" s="225">
        <f t="shared" si="9"/>
        <v>0</v>
      </c>
      <c r="T49" s="225">
        <f t="shared" si="9"/>
        <v>0</v>
      </c>
      <c r="U49" s="225">
        <f t="shared" si="9"/>
        <v>0</v>
      </c>
      <c r="V49" s="225">
        <f t="shared" si="9"/>
        <v>0</v>
      </c>
      <c r="W49" s="225">
        <f t="shared" si="9"/>
        <v>0</v>
      </c>
    </row>
    <row r="50" spans="1:23" ht="16.399999999999999" customHeight="1" x14ac:dyDescent="0.35">
      <c r="A50" s="65" t="s">
        <v>2</v>
      </c>
      <c r="B50" s="65"/>
      <c r="C50" s="65">
        <f>AVERAGE(C42,C49,C35,C28,C21,C14)</f>
        <v>2626.1666666666665</v>
      </c>
      <c r="D50" s="65">
        <f t="shared" ref="D50:W50" si="10">AVERAGE(D42,D49,D35,D28,D21,D14)</f>
        <v>2626.1666666666665</v>
      </c>
      <c r="E50" s="65">
        <f t="shared" si="10"/>
        <v>0</v>
      </c>
      <c r="F50" s="65">
        <f t="shared" si="10"/>
        <v>0</v>
      </c>
      <c r="G50" s="65">
        <f t="shared" si="10"/>
        <v>2626.1666666666665</v>
      </c>
      <c r="H50" s="65">
        <f t="shared" si="10"/>
        <v>0</v>
      </c>
      <c r="I50" s="65">
        <f t="shared" si="10"/>
        <v>0</v>
      </c>
      <c r="J50" s="65">
        <f t="shared" si="10"/>
        <v>0</v>
      </c>
      <c r="K50" s="65">
        <f t="shared" si="10"/>
        <v>1370</v>
      </c>
      <c r="L50" s="65">
        <f t="shared" si="10"/>
        <v>0</v>
      </c>
      <c r="M50" s="65">
        <f t="shared" si="10"/>
        <v>1370</v>
      </c>
      <c r="N50" s="65">
        <f t="shared" si="10"/>
        <v>0</v>
      </c>
      <c r="O50" s="65">
        <f t="shared" si="10"/>
        <v>1370</v>
      </c>
      <c r="P50" s="65">
        <f t="shared" si="10"/>
        <v>1370</v>
      </c>
      <c r="Q50" s="65">
        <f t="shared" si="10"/>
        <v>2626.1666666666665</v>
      </c>
      <c r="R50" s="65">
        <f t="shared" si="10"/>
        <v>2626.1666666666665</v>
      </c>
      <c r="S50" s="65">
        <f t="shared" si="10"/>
        <v>2626.1666666666665</v>
      </c>
      <c r="T50" s="65">
        <f t="shared" si="10"/>
        <v>0</v>
      </c>
      <c r="U50" s="65">
        <f t="shared" si="10"/>
        <v>2626.1666666666665</v>
      </c>
      <c r="V50" s="65">
        <f t="shared" si="10"/>
        <v>0</v>
      </c>
      <c r="W50" s="65">
        <f t="shared" si="10"/>
        <v>0</v>
      </c>
    </row>
    <row r="51" spans="1:23" x14ac:dyDescent="0.35">
      <c r="A51" s="150" t="s">
        <v>159</v>
      </c>
      <c r="B51" s="151"/>
      <c r="C51" s="163"/>
      <c r="D51" s="154"/>
      <c r="E51" s="154"/>
      <c r="F51" s="154"/>
      <c r="G51" s="154"/>
      <c r="H51" s="154"/>
      <c r="I51" s="154"/>
      <c r="J51" s="152"/>
      <c r="K51" s="154"/>
      <c r="L51" s="154"/>
      <c r="M51" s="154"/>
      <c r="N51" s="152"/>
      <c r="O51" s="152"/>
      <c r="P51" s="154"/>
      <c r="Q51" s="154"/>
      <c r="R51" s="154"/>
      <c r="S51" s="154"/>
      <c r="T51" s="154"/>
      <c r="U51" s="154"/>
      <c r="V51" s="154"/>
      <c r="W51" s="154"/>
    </row>
    <row r="52" spans="1:23" x14ac:dyDescent="0.35">
      <c r="A52" s="155" t="s">
        <v>161</v>
      </c>
      <c r="B52" s="156" t="s">
        <v>162</v>
      </c>
      <c r="C52" s="165"/>
      <c r="D52" s="157"/>
      <c r="E52" s="157"/>
      <c r="F52" s="157"/>
      <c r="G52" s="157"/>
      <c r="H52" s="157"/>
      <c r="I52" s="157"/>
      <c r="J52" s="157"/>
      <c r="K52" s="157"/>
      <c r="L52" s="157"/>
      <c r="M52" s="157"/>
      <c r="N52" s="157"/>
      <c r="O52" s="157"/>
      <c r="P52" s="157"/>
      <c r="Q52" s="157"/>
      <c r="R52" s="157"/>
      <c r="S52" s="157"/>
      <c r="T52" s="157"/>
      <c r="U52" s="157"/>
      <c r="V52" s="157"/>
      <c r="W52" s="157"/>
    </row>
    <row r="53" spans="1:23" x14ac:dyDescent="0.35">
      <c r="A53" s="155" t="s">
        <v>161</v>
      </c>
      <c r="B53" s="156" t="s">
        <v>163</v>
      </c>
      <c r="C53" s="165"/>
      <c r="D53" s="157"/>
      <c r="E53" s="157"/>
      <c r="F53" s="157"/>
      <c r="G53" s="157"/>
      <c r="H53" s="157"/>
      <c r="I53" s="157"/>
      <c r="J53" s="157"/>
      <c r="K53" s="157"/>
      <c r="L53" s="157"/>
      <c r="M53" s="157"/>
      <c r="N53" s="157"/>
      <c r="O53" s="157"/>
      <c r="P53" s="157"/>
      <c r="Q53" s="157"/>
      <c r="R53" s="157"/>
      <c r="S53" s="157"/>
      <c r="T53" s="157"/>
      <c r="U53" s="157"/>
      <c r="V53" s="157"/>
      <c r="W53" s="157"/>
    </row>
    <row r="54" spans="1:23" x14ac:dyDescent="0.35">
      <c r="A54" s="155" t="s">
        <v>164</v>
      </c>
      <c r="B54" s="156"/>
      <c r="C54" s="165"/>
      <c r="D54" s="157"/>
      <c r="E54" s="157"/>
      <c r="F54" s="157"/>
      <c r="G54" s="157"/>
      <c r="H54" s="157"/>
      <c r="I54" s="157"/>
      <c r="J54" s="166"/>
      <c r="K54" s="157"/>
      <c r="L54" s="157"/>
      <c r="M54" s="157"/>
      <c r="N54" s="157"/>
      <c r="O54" s="157"/>
      <c r="P54" s="157"/>
      <c r="Q54" s="157"/>
      <c r="R54" s="157"/>
      <c r="S54" s="157"/>
      <c r="T54" s="157"/>
      <c r="U54" s="157"/>
      <c r="V54" s="157"/>
      <c r="W54" s="157"/>
    </row>
    <row r="55" spans="1:23" x14ac:dyDescent="0.35">
      <c r="A55" s="160" t="s">
        <v>165</v>
      </c>
      <c r="B55" s="167"/>
      <c r="C55" s="165"/>
      <c r="D55" s="157"/>
      <c r="E55" s="157"/>
      <c r="F55" s="157"/>
      <c r="G55" s="157"/>
      <c r="H55" s="157"/>
      <c r="I55" s="157"/>
      <c r="J55" s="157"/>
      <c r="K55" s="157"/>
      <c r="L55" s="157"/>
      <c r="M55" s="157"/>
      <c r="N55" s="157"/>
      <c r="O55" s="157"/>
      <c r="P55" s="157"/>
      <c r="Q55" s="157"/>
      <c r="R55" s="157"/>
      <c r="S55" s="157"/>
      <c r="T55" s="157"/>
      <c r="U55" s="157"/>
      <c r="V55" s="157"/>
      <c r="W55" s="157"/>
    </row>
    <row r="56" spans="1:23" x14ac:dyDescent="0.35">
      <c r="A56" s="225" t="s">
        <v>167</v>
      </c>
      <c r="B56" s="225"/>
      <c r="C56" s="225">
        <f>IFERROR(C53-C52,"")</f>
        <v>0</v>
      </c>
      <c r="D56" s="225">
        <f t="shared" ref="D56:W56" si="11">IFERROR(D53-D52,"")</f>
        <v>0</v>
      </c>
      <c r="E56" s="225">
        <f t="shared" si="11"/>
        <v>0</v>
      </c>
      <c r="F56" s="225">
        <f t="shared" si="11"/>
        <v>0</v>
      </c>
      <c r="G56" s="225">
        <f t="shared" si="11"/>
        <v>0</v>
      </c>
      <c r="H56" s="225">
        <f t="shared" si="11"/>
        <v>0</v>
      </c>
      <c r="I56" s="225">
        <f t="shared" si="11"/>
        <v>0</v>
      </c>
      <c r="J56" s="225">
        <f t="shared" si="11"/>
        <v>0</v>
      </c>
      <c r="K56" s="225">
        <f t="shared" si="11"/>
        <v>0</v>
      </c>
      <c r="L56" s="225">
        <f t="shared" si="11"/>
        <v>0</v>
      </c>
      <c r="M56" s="225">
        <f t="shared" si="11"/>
        <v>0</v>
      </c>
      <c r="N56" s="225">
        <f t="shared" si="11"/>
        <v>0</v>
      </c>
      <c r="O56" s="225">
        <f t="shared" si="11"/>
        <v>0</v>
      </c>
      <c r="P56" s="225">
        <f t="shared" si="11"/>
        <v>0</v>
      </c>
      <c r="Q56" s="225">
        <f t="shared" si="11"/>
        <v>0</v>
      </c>
      <c r="R56" s="225">
        <f t="shared" si="11"/>
        <v>0</v>
      </c>
      <c r="S56" s="225">
        <f t="shared" si="11"/>
        <v>0</v>
      </c>
      <c r="T56" s="225">
        <f t="shared" si="11"/>
        <v>0</v>
      </c>
      <c r="U56" s="225">
        <f t="shared" si="11"/>
        <v>0</v>
      </c>
      <c r="V56" s="225">
        <f t="shared" si="11"/>
        <v>0</v>
      </c>
      <c r="W56" s="225">
        <f t="shared" si="11"/>
        <v>0</v>
      </c>
    </row>
    <row r="57" spans="1:23" ht="16.399999999999999" customHeight="1" x14ac:dyDescent="0.35">
      <c r="A57" s="65" t="s">
        <v>2</v>
      </c>
      <c r="B57" s="65"/>
      <c r="C57" s="65">
        <f>AVERAGE(C49,C56,C42,C35,C28,C21,C14)</f>
        <v>2251</v>
      </c>
      <c r="D57" s="65">
        <f t="shared" ref="D57:W57" si="12">AVERAGE(D49,D56,D42,D35,D28,D21,D14)</f>
        <v>2251</v>
      </c>
      <c r="E57" s="65">
        <f t="shared" si="12"/>
        <v>0</v>
      </c>
      <c r="F57" s="65">
        <f t="shared" si="12"/>
        <v>0</v>
      </c>
      <c r="G57" s="65">
        <f t="shared" si="12"/>
        <v>2251</v>
      </c>
      <c r="H57" s="65">
        <f t="shared" si="12"/>
        <v>0</v>
      </c>
      <c r="I57" s="65">
        <f t="shared" si="12"/>
        <v>0</v>
      </c>
      <c r="J57" s="65">
        <f t="shared" si="12"/>
        <v>0</v>
      </c>
      <c r="K57" s="65">
        <f t="shared" si="12"/>
        <v>1174.2857142857142</v>
      </c>
      <c r="L57" s="65">
        <f t="shared" si="12"/>
        <v>0</v>
      </c>
      <c r="M57" s="65">
        <f t="shared" si="12"/>
        <v>1174.2857142857142</v>
      </c>
      <c r="N57" s="65">
        <f t="shared" si="12"/>
        <v>0</v>
      </c>
      <c r="O57" s="65">
        <f t="shared" si="12"/>
        <v>1174.2857142857142</v>
      </c>
      <c r="P57" s="65">
        <f t="shared" si="12"/>
        <v>1174.2857142857142</v>
      </c>
      <c r="Q57" s="65">
        <f t="shared" si="12"/>
        <v>2251</v>
      </c>
      <c r="R57" s="65">
        <f t="shared" si="12"/>
        <v>2251</v>
      </c>
      <c r="S57" s="65">
        <f t="shared" si="12"/>
        <v>2251</v>
      </c>
      <c r="T57" s="65">
        <f t="shared" si="12"/>
        <v>0</v>
      </c>
      <c r="U57" s="65">
        <f t="shared" si="12"/>
        <v>2251</v>
      </c>
      <c r="V57" s="65">
        <f t="shared" si="12"/>
        <v>0</v>
      </c>
      <c r="W57" s="65">
        <f t="shared" si="12"/>
        <v>0</v>
      </c>
    </row>
    <row r="58" spans="1:23" x14ac:dyDescent="0.35">
      <c r="A58" s="150" t="s">
        <v>159</v>
      </c>
      <c r="B58" s="151"/>
      <c r="C58" s="163"/>
      <c r="D58" s="154"/>
      <c r="E58" s="154"/>
      <c r="F58" s="154"/>
      <c r="G58" s="154"/>
      <c r="H58" s="154"/>
      <c r="I58" s="154"/>
      <c r="J58" s="152"/>
      <c r="K58" s="154"/>
      <c r="L58" s="154"/>
      <c r="M58" s="154"/>
      <c r="N58" s="152"/>
      <c r="O58" s="152"/>
      <c r="P58" s="154"/>
      <c r="Q58" s="154"/>
      <c r="R58" s="154"/>
      <c r="S58" s="154"/>
      <c r="T58" s="154"/>
      <c r="U58" s="154"/>
      <c r="V58" s="154"/>
      <c r="W58" s="154"/>
    </row>
    <row r="59" spans="1:23" x14ac:dyDescent="0.35">
      <c r="A59" s="155" t="s">
        <v>161</v>
      </c>
      <c r="B59" s="156" t="s">
        <v>162</v>
      </c>
      <c r="C59" s="165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7"/>
      <c r="O59" s="157"/>
      <c r="P59" s="157"/>
      <c r="Q59" s="157"/>
      <c r="R59" s="157"/>
      <c r="S59" s="157"/>
      <c r="T59" s="157"/>
      <c r="U59" s="157"/>
      <c r="V59" s="157"/>
      <c r="W59" s="157"/>
    </row>
    <row r="60" spans="1:23" x14ac:dyDescent="0.35">
      <c r="A60" s="155" t="s">
        <v>161</v>
      </c>
      <c r="B60" s="156" t="s">
        <v>163</v>
      </c>
      <c r="C60" s="165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  <c r="P60" s="157"/>
      <c r="Q60" s="157"/>
      <c r="R60" s="157"/>
      <c r="S60" s="157"/>
      <c r="T60" s="157"/>
      <c r="U60" s="157"/>
      <c r="V60" s="157"/>
      <c r="W60" s="157"/>
    </row>
    <row r="61" spans="1:23" x14ac:dyDescent="0.35">
      <c r="A61" s="155" t="s">
        <v>164</v>
      </c>
      <c r="B61" s="156"/>
      <c r="C61" s="165"/>
      <c r="D61" s="157"/>
      <c r="E61" s="157"/>
      <c r="F61" s="157"/>
      <c r="G61" s="157"/>
      <c r="H61" s="157"/>
      <c r="I61" s="157"/>
      <c r="J61" s="166"/>
      <c r="K61" s="157"/>
      <c r="L61" s="157"/>
      <c r="M61" s="157"/>
      <c r="N61" s="157"/>
      <c r="O61" s="157"/>
      <c r="P61" s="157"/>
      <c r="Q61" s="157"/>
      <c r="R61" s="157"/>
      <c r="S61" s="157"/>
      <c r="T61" s="157"/>
      <c r="U61" s="157"/>
      <c r="V61" s="157"/>
      <c r="W61" s="157"/>
    </row>
    <row r="62" spans="1:23" x14ac:dyDescent="0.35">
      <c r="A62" s="160" t="s">
        <v>165</v>
      </c>
      <c r="B62" s="167"/>
      <c r="C62" s="165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  <c r="P62" s="157"/>
      <c r="Q62" s="157"/>
      <c r="R62" s="157"/>
      <c r="S62" s="157"/>
      <c r="T62" s="157"/>
      <c r="U62" s="157"/>
      <c r="V62" s="157"/>
      <c r="W62" s="157"/>
    </row>
    <row r="63" spans="1:23" x14ac:dyDescent="0.35">
      <c r="A63" s="225" t="s">
        <v>167</v>
      </c>
      <c r="B63" s="225"/>
      <c r="C63" s="225">
        <f>IFERROR(C60-C59,"")</f>
        <v>0</v>
      </c>
      <c r="D63" s="225">
        <f t="shared" ref="D63:W63" si="13">IFERROR(D60-D59,"")</f>
        <v>0</v>
      </c>
      <c r="E63" s="225">
        <f t="shared" si="13"/>
        <v>0</v>
      </c>
      <c r="F63" s="225">
        <f t="shared" si="13"/>
        <v>0</v>
      </c>
      <c r="G63" s="225">
        <f t="shared" si="13"/>
        <v>0</v>
      </c>
      <c r="H63" s="225">
        <f t="shared" si="13"/>
        <v>0</v>
      </c>
      <c r="I63" s="225">
        <f t="shared" si="13"/>
        <v>0</v>
      </c>
      <c r="J63" s="225">
        <f t="shared" si="13"/>
        <v>0</v>
      </c>
      <c r="K63" s="225">
        <f t="shared" si="13"/>
        <v>0</v>
      </c>
      <c r="L63" s="225">
        <f t="shared" si="13"/>
        <v>0</v>
      </c>
      <c r="M63" s="225">
        <f t="shared" si="13"/>
        <v>0</v>
      </c>
      <c r="N63" s="225">
        <f t="shared" si="13"/>
        <v>0</v>
      </c>
      <c r="O63" s="225">
        <f t="shared" si="13"/>
        <v>0</v>
      </c>
      <c r="P63" s="225">
        <f t="shared" si="13"/>
        <v>0</v>
      </c>
      <c r="Q63" s="225">
        <f t="shared" si="13"/>
        <v>0</v>
      </c>
      <c r="R63" s="225">
        <f t="shared" si="13"/>
        <v>0</v>
      </c>
      <c r="S63" s="225">
        <f t="shared" si="13"/>
        <v>0</v>
      </c>
      <c r="T63" s="225">
        <f t="shared" si="13"/>
        <v>0</v>
      </c>
      <c r="U63" s="225">
        <f t="shared" si="13"/>
        <v>0</v>
      </c>
      <c r="V63" s="225">
        <f t="shared" si="13"/>
        <v>0</v>
      </c>
      <c r="W63" s="225">
        <f t="shared" si="13"/>
        <v>0</v>
      </c>
    </row>
    <row r="64" spans="1:23" ht="16.399999999999999" customHeight="1" x14ac:dyDescent="0.35">
      <c r="A64" s="65" t="s">
        <v>2</v>
      </c>
      <c r="B64" s="65"/>
      <c r="C64" s="65">
        <f>AVERAGE(C56,C63,C49,C42,C35,C28,C21,C14)</f>
        <v>1969.625</v>
      </c>
      <c r="D64" s="65">
        <f t="shared" ref="D64:W64" si="14">AVERAGE(D56,D63,D49,D42,D35,D28,D21,D14)</f>
        <v>1969.625</v>
      </c>
      <c r="E64" s="65">
        <f t="shared" si="14"/>
        <v>0</v>
      </c>
      <c r="F64" s="65">
        <f t="shared" si="14"/>
        <v>0</v>
      </c>
      <c r="G64" s="65">
        <f t="shared" si="14"/>
        <v>1969.625</v>
      </c>
      <c r="H64" s="65">
        <f t="shared" si="14"/>
        <v>0</v>
      </c>
      <c r="I64" s="65">
        <f t="shared" si="14"/>
        <v>0</v>
      </c>
      <c r="J64" s="65">
        <f t="shared" si="14"/>
        <v>0</v>
      </c>
      <c r="K64" s="65">
        <f t="shared" si="14"/>
        <v>1027.5</v>
      </c>
      <c r="L64" s="65">
        <f t="shared" si="14"/>
        <v>0</v>
      </c>
      <c r="M64" s="65">
        <f t="shared" si="14"/>
        <v>1027.5</v>
      </c>
      <c r="N64" s="65">
        <f t="shared" si="14"/>
        <v>0</v>
      </c>
      <c r="O64" s="65">
        <f t="shared" si="14"/>
        <v>1027.5</v>
      </c>
      <c r="P64" s="65">
        <f t="shared" si="14"/>
        <v>1027.5</v>
      </c>
      <c r="Q64" s="65">
        <f t="shared" si="14"/>
        <v>1969.625</v>
      </c>
      <c r="R64" s="65">
        <f t="shared" si="14"/>
        <v>1969.625</v>
      </c>
      <c r="S64" s="65">
        <f t="shared" si="14"/>
        <v>1969.625</v>
      </c>
      <c r="T64" s="65">
        <f t="shared" si="14"/>
        <v>0</v>
      </c>
      <c r="U64" s="65">
        <f t="shared" si="14"/>
        <v>1969.625</v>
      </c>
      <c r="V64" s="65">
        <f t="shared" si="14"/>
        <v>0</v>
      </c>
      <c r="W64" s="65">
        <f t="shared" si="14"/>
        <v>0</v>
      </c>
    </row>
  </sheetData>
  <sheetProtection algorithmName="SHA-512" hashValue="tAlYYNTKRFSRgJPGjt3xNlTvI9DjcJiRmj+0rPi3W9mrFrc0I6B9mRNutGLh+5fLMys8yZpBIfN8f09M2+Edfg==" saltValue="OTHd+9lWeXW2LAz+M5DiAw==" spinCount="100000" sheet="1" objects="1" scenarios="1"/>
  <autoFilter ref="A2:W64" xr:uid="{00000000-0009-0000-0000-000021000000}"/>
  <mergeCells count="2">
    <mergeCell ref="A7:B7"/>
    <mergeCell ref="A8:B8"/>
  </mergeCells>
  <conditionalFormatting sqref="C15 F15:W15">
    <cfRule type="expression" dxfId="59" priority="71">
      <formula>C15&lt;#REF!</formula>
    </cfRule>
    <cfRule type="expression" dxfId="58" priority="72">
      <formula>C15&gt;#REF!</formula>
    </cfRule>
  </conditionalFormatting>
  <conditionalFormatting sqref="D15">
    <cfRule type="expression" dxfId="57" priority="73">
      <formula>D15&lt;#REF!</formula>
    </cfRule>
    <cfRule type="expression" dxfId="56" priority="74">
      <formula>D15&gt;#REF!</formula>
    </cfRule>
  </conditionalFormatting>
  <conditionalFormatting sqref="E15">
    <cfRule type="expression" dxfId="55" priority="75" stopIfTrue="1">
      <formula>E15&lt;#REF!</formula>
    </cfRule>
    <cfRule type="expression" dxfId="54" priority="76" stopIfTrue="1">
      <formula>E15&gt;#REF!</formula>
    </cfRule>
  </conditionalFormatting>
  <conditionalFormatting sqref="C22:W22">
    <cfRule type="expression" dxfId="53" priority="63">
      <formula>C22&lt;#REF!</formula>
    </cfRule>
    <cfRule type="expression" dxfId="52" priority="64">
      <formula>C22&gt;#REF!</formula>
    </cfRule>
  </conditionalFormatting>
  <conditionalFormatting sqref="D22">
    <cfRule type="expression" dxfId="51" priority="65">
      <formula>D22&lt;#REF!</formula>
    </cfRule>
    <cfRule type="expression" dxfId="50" priority="66">
      <formula>D22&gt;#REF!</formula>
    </cfRule>
  </conditionalFormatting>
  <conditionalFormatting sqref="E22">
    <cfRule type="expression" dxfId="49" priority="67" stopIfTrue="1">
      <formula>E22&lt;#REF!</formula>
    </cfRule>
    <cfRule type="expression" dxfId="48" priority="68" stopIfTrue="1">
      <formula>E22&gt;#REF!</formula>
    </cfRule>
  </conditionalFormatting>
  <conditionalFormatting sqref="F29:W29">
    <cfRule type="expression" dxfId="47" priority="55">
      <formula>F29&lt;#REF!</formula>
    </cfRule>
    <cfRule type="expression" dxfId="46" priority="56">
      <formula>F29&gt;#REF!</formula>
    </cfRule>
  </conditionalFormatting>
  <conditionalFormatting sqref="D29">
    <cfRule type="expression" dxfId="45" priority="57">
      <formula>D29&lt;#REF!</formula>
    </cfRule>
    <cfRule type="expression" dxfId="44" priority="58">
      <formula>D29&gt;#REF!</formula>
    </cfRule>
  </conditionalFormatting>
  <conditionalFormatting sqref="E29">
    <cfRule type="expression" dxfId="43" priority="59" stopIfTrue="1">
      <formula>E29&lt;#REF!</formula>
    </cfRule>
    <cfRule type="expression" dxfId="42" priority="60" stopIfTrue="1">
      <formula>E29&gt;#REF!</formula>
    </cfRule>
  </conditionalFormatting>
  <conditionalFormatting sqref="F36:W36">
    <cfRule type="expression" dxfId="41" priority="47">
      <formula>F36&lt;#REF!</formula>
    </cfRule>
    <cfRule type="expression" dxfId="40" priority="48">
      <formula>F36&gt;#REF!</formula>
    </cfRule>
  </conditionalFormatting>
  <conditionalFormatting sqref="D36">
    <cfRule type="expression" dxfId="39" priority="49">
      <formula>D36&lt;#REF!</formula>
    </cfRule>
    <cfRule type="expression" dxfId="38" priority="50">
      <formula>D36&gt;#REF!</formula>
    </cfRule>
  </conditionalFormatting>
  <conditionalFormatting sqref="E36">
    <cfRule type="expression" dxfId="37" priority="51" stopIfTrue="1">
      <formula>E36&lt;#REF!</formula>
    </cfRule>
    <cfRule type="expression" dxfId="36" priority="52" stopIfTrue="1">
      <formula>E36&gt;#REF!</formula>
    </cfRule>
  </conditionalFormatting>
  <conditionalFormatting sqref="F43:W43">
    <cfRule type="expression" dxfId="35" priority="39">
      <formula>F43&lt;#REF!</formula>
    </cfRule>
    <cfRule type="expression" dxfId="34" priority="40">
      <formula>F43&gt;#REF!</formula>
    </cfRule>
  </conditionalFormatting>
  <conditionalFormatting sqref="D43">
    <cfRule type="expression" dxfId="33" priority="41">
      <formula>D43&lt;#REF!</formula>
    </cfRule>
    <cfRule type="expression" dxfId="32" priority="42">
      <formula>D43&gt;#REF!</formula>
    </cfRule>
  </conditionalFormatting>
  <conditionalFormatting sqref="E43">
    <cfRule type="expression" dxfId="31" priority="43" stopIfTrue="1">
      <formula>E43&lt;#REF!</formula>
    </cfRule>
    <cfRule type="expression" dxfId="30" priority="44" stopIfTrue="1">
      <formula>E43&gt;#REF!</formula>
    </cfRule>
  </conditionalFormatting>
  <conditionalFormatting sqref="F50:W50">
    <cfRule type="expression" dxfId="29" priority="31">
      <formula>F50&lt;#REF!</formula>
    </cfRule>
    <cfRule type="expression" dxfId="28" priority="32">
      <formula>F50&gt;#REF!</formula>
    </cfRule>
  </conditionalFormatting>
  <conditionalFormatting sqref="D50">
    <cfRule type="expression" dxfId="27" priority="33">
      <formula>D50&lt;#REF!</formula>
    </cfRule>
    <cfRule type="expression" dxfId="26" priority="34">
      <formula>D50&gt;#REF!</formula>
    </cfRule>
  </conditionalFormatting>
  <conditionalFormatting sqref="E50">
    <cfRule type="expression" dxfId="25" priority="35" stopIfTrue="1">
      <formula>E50&lt;#REF!</formula>
    </cfRule>
    <cfRule type="expression" dxfId="24" priority="36" stopIfTrue="1">
      <formula>E50&gt;#REF!</formula>
    </cfRule>
  </conditionalFormatting>
  <conditionalFormatting sqref="F57:W57">
    <cfRule type="expression" dxfId="23" priority="23">
      <formula>F57&lt;#REF!</formula>
    </cfRule>
    <cfRule type="expression" dxfId="22" priority="24">
      <formula>F57&gt;#REF!</formula>
    </cfRule>
  </conditionalFormatting>
  <conditionalFormatting sqref="D57">
    <cfRule type="expression" dxfId="21" priority="25">
      <formula>D57&lt;#REF!</formula>
    </cfRule>
    <cfRule type="expression" dxfId="20" priority="26">
      <formula>D57&gt;#REF!</formula>
    </cfRule>
  </conditionalFormatting>
  <conditionalFormatting sqref="E57">
    <cfRule type="expression" dxfId="19" priority="27" stopIfTrue="1">
      <formula>E57&lt;#REF!</formula>
    </cfRule>
    <cfRule type="expression" dxfId="18" priority="28" stopIfTrue="1">
      <formula>E57&gt;#REF!</formula>
    </cfRule>
  </conditionalFormatting>
  <conditionalFormatting sqref="F64:W64">
    <cfRule type="expression" dxfId="17" priority="15">
      <formula>F64&lt;#REF!</formula>
    </cfRule>
    <cfRule type="expression" dxfId="16" priority="16">
      <formula>F64&gt;#REF!</formula>
    </cfRule>
  </conditionalFormatting>
  <conditionalFormatting sqref="D64">
    <cfRule type="expression" dxfId="15" priority="17">
      <formula>D64&lt;#REF!</formula>
    </cfRule>
    <cfRule type="expression" dxfId="14" priority="18">
      <formula>D64&gt;#REF!</formula>
    </cfRule>
  </conditionalFormatting>
  <conditionalFormatting sqref="E64">
    <cfRule type="expression" dxfId="13" priority="19" stopIfTrue="1">
      <formula>E64&lt;#REF!</formula>
    </cfRule>
    <cfRule type="expression" dxfId="12" priority="20" stopIfTrue="1">
      <formula>E64&gt;#REF!</formula>
    </cfRule>
  </conditionalFormatting>
  <conditionalFormatting sqref="C29:W29">
    <cfRule type="expression" dxfId="11" priority="11">
      <formula>C29&lt;#REF!</formula>
    </cfRule>
    <cfRule type="expression" dxfId="10" priority="12">
      <formula>C29&gt;#REF!</formula>
    </cfRule>
  </conditionalFormatting>
  <conditionalFormatting sqref="C36:W36">
    <cfRule type="expression" dxfId="9" priority="9">
      <formula>C36&lt;#REF!</formula>
    </cfRule>
    <cfRule type="expression" dxfId="8" priority="10">
      <formula>C36&gt;#REF!</formula>
    </cfRule>
  </conditionalFormatting>
  <conditionalFormatting sqref="C43:W43">
    <cfRule type="expression" dxfId="7" priority="7">
      <formula>C43&lt;#REF!</formula>
    </cfRule>
    <cfRule type="expression" dxfId="6" priority="8">
      <formula>C43&gt;#REF!</formula>
    </cfRule>
  </conditionalFormatting>
  <conditionalFormatting sqref="C50:W50">
    <cfRule type="expression" dxfId="5" priority="5">
      <formula>C50&lt;#REF!</formula>
    </cfRule>
    <cfRule type="expression" dxfId="4" priority="6">
      <formula>C50&gt;#REF!</formula>
    </cfRule>
  </conditionalFormatting>
  <conditionalFormatting sqref="C57:W57">
    <cfRule type="expression" dxfId="3" priority="3">
      <formula>C57&lt;#REF!</formula>
    </cfRule>
    <cfRule type="expression" dxfId="2" priority="4">
      <formula>C57&gt;#REF!</formula>
    </cfRule>
  </conditionalFormatting>
  <conditionalFormatting sqref="C64:W64">
    <cfRule type="expression" dxfId="1" priority="1">
      <formula>C64&lt;#REF!</formula>
    </cfRule>
    <cfRule type="expression" dxfId="0" priority="2">
      <formula>C64&gt;#REF!</formula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C791B0CA589D4382A51FF0F3DBD909" ma:contentTypeVersion="13" ma:contentTypeDescription="Create a new document." ma:contentTypeScope="" ma:versionID="3a656ac1024fd600a8d3de2da5a7c61d">
  <xsd:schema xmlns:xsd="http://www.w3.org/2001/XMLSchema" xmlns:xs="http://www.w3.org/2001/XMLSchema" xmlns:p="http://schemas.microsoft.com/office/2006/metadata/properties" xmlns:ns2="485298f2-9ba6-4b78-9e57-78b401dd0e3d" xmlns:ns3="df3f135a-0035-4ae6-836b-b9a0201538ee" targetNamespace="http://schemas.microsoft.com/office/2006/metadata/properties" ma:root="true" ma:fieldsID="a07e80ad904876ad8145266df4966ab2" ns2:_="" ns3:_="">
    <xsd:import namespace="485298f2-9ba6-4b78-9e57-78b401dd0e3d"/>
    <xsd:import namespace="df3f135a-0035-4ae6-836b-b9a0201538e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5298f2-9ba6-4b78-9e57-78b401dd0e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3f135a-0035-4ae6-836b-b9a0201538e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5853D3B-A3AC-46F0-84FE-61707040B28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6D12C2-855D-4E83-9177-6A74BC54A9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85298f2-9ba6-4b78-9e57-78b401dd0e3d"/>
    <ds:schemaRef ds:uri="df3f135a-0035-4ae6-836b-b9a0201538e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F549F3B-3F4D-4C50-B73B-C7571D74CAFD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2</vt:i4>
      </vt:variant>
    </vt:vector>
  </HeadingPairs>
  <TitlesOfParts>
    <vt:vector size="37" baseType="lpstr">
      <vt:lpstr>Table with Pumps and Average R</vt:lpstr>
      <vt:lpstr>Pump Status</vt:lpstr>
      <vt:lpstr>Overall 0521-PU-807</vt:lpstr>
      <vt:lpstr>Overall 0521-PU-808</vt:lpstr>
      <vt:lpstr>Overall 0523-PU-810</vt:lpstr>
      <vt:lpstr>Overall 0523-PU-811</vt:lpstr>
      <vt:lpstr>Overall 3315-PU-704</vt:lpstr>
      <vt:lpstr>Overall 3315-PU-710</vt:lpstr>
      <vt:lpstr>Overall 3350-PU-731</vt:lpstr>
      <vt:lpstr>Overall 3420-PU-823</vt:lpstr>
      <vt:lpstr>Overall 3421-PU-735</vt:lpstr>
      <vt:lpstr>Overall 3421-PU-737</vt:lpstr>
      <vt:lpstr>Overall 3430-PU-721</vt:lpstr>
      <vt:lpstr>Лист1</vt:lpstr>
      <vt:lpstr>Overall 3430-PU-723</vt:lpstr>
      <vt:lpstr>Overall 3430-PU-724</vt:lpstr>
      <vt:lpstr>Overall 3430-PU-824</vt:lpstr>
      <vt:lpstr>Overall 3443-PU-744</vt:lpstr>
      <vt:lpstr>Overall 3443-PU-750</vt:lpstr>
      <vt:lpstr>Overall 3445-PU-757</vt:lpstr>
      <vt:lpstr>Overall 3445-PU-761</vt:lpstr>
      <vt:lpstr>Overall 3520-PU-825</vt:lpstr>
      <vt:lpstr>Overall 3520-PU-826</vt:lpstr>
      <vt:lpstr>Overall 3530-PU-828</vt:lpstr>
      <vt:lpstr>Overall 3530-PU-829</vt:lpstr>
      <vt:lpstr>Overall 3520-PU-830</vt:lpstr>
      <vt:lpstr>Overall 3520-PU-892</vt:lpstr>
      <vt:lpstr>Overall 3720-PU-769</vt:lpstr>
      <vt:lpstr>Overall 3720-PU-772</vt:lpstr>
      <vt:lpstr>Overall 3730-PU-773</vt:lpstr>
      <vt:lpstr>Overall 3730-PU-774</vt:lpstr>
      <vt:lpstr>Overall 3730-PU-775</vt:lpstr>
      <vt:lpstr>Overall 3730-PU-776</vt:lpstr>
      <vt:lpstr>Overall 3730-PU-856</vt:lpstr>
      <vt:lpstr>Overall 3730-PU-857</vt:lpstr>
      <vt:lpstr>'Pump Status'!Print_Area</vt:lpstr>
      <vt:lpstr>Runtime</vt:lpstr>
    </vt:vector>
  </TitlesOfParts>
  <Manager/>
  <Company>diakov.net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Пользователь Windows</dc:creator>
  <cp:keywords/>
  <dc:description/>
  <cp:lastModifiedBy>Mukhambetov Arman (Арман Мухамбетов)</cp:lastModifiedBy>
  <cp:revision/>
  <dcterms:created xsi:type="dcterms:W3CDTF">2020-05-22T05:38:02Z</dcterms:created>
  <dcterms:modified xsi:type="dcterms:W3CDTF">2021-12-20T09:53:09Z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0x010100B7C791B0CA589D4382A51FF0F3DBD909</vt:lpwstr>
  </property>
  <property fmtid="{D5CDD505-2E9C-101B-9397-08002B2CF9AE}" pid="3" name="MSIP_Label_e9d746c0-3369-42be-bf83-6862f3f56ae7_Enabled">
    <vt:lpwstr>true</vt:lpwstr>
  </property>
  <property fmtid="{D5CDD505-2E9C-101B-9397-08002B2CF9AE}" pid="4" name="MSIP_Label_e9d746c0-3369-42be-bf83-6862f3f56ae7_SetDate">
    <vt:lpwstr>2021-09-26T07:51:57Z</vt:lpwstr>
  </property>
  <property fmtid="{D5CDD505-2E9C-101B-9397-08002B2CF9AE}" pid="5" name="MSIP_Label_e9d746c0-3369-42be-bf83-6862f3f56ae7_Method">
    <vt:lpwstr>Standard</vt:lpwstr>
  </property>
  <property fmtid="{D5CDD505-2E9C-101B-9397-08002B2CF9AE}" pid="6" name="MSIP_Label_e9d746c0-3369-42be-bf83-6862f3f56ae7_Name">
    <vt:lpwstr>Fluor General</vt:lpwstr>
  </property>
  <property fmtid="{D5CDD505-2E9C-101B-9397-08002B2CF9AE}" pid="7" name="MSIP_Label_e9d746c0-3369-42be-bf83-6862f3f56ae7_SiteId">
    <vt:lpwstr>75864cfe-f26d-419c-b69d-c638695b5533</vt:lpwstr>
  </property>
  <property fmtid="{D5CDD505-2E9C-101B-9397-08002B2CF9AE}" pid="8" name="MSIP_Label_e9d746c0-3369-42be-bf83-6862f3f56ae7_ActionId">
    <vt:lpwstr>d0e8ac2a-1c41-43f7-8860-3d67a8543050</vt:lpwstr>
  </property>
  <property fmtid="{D5CDD505-2E9C-101B-9397-08002B2CF9AE}" pid="9" name="MSIP_Label_e9d746c0-3369-42be-bf83-6862f3f56ae7_ContentBits">
    <vt:lpwstr>0</vt:lpwstr>
  </property>
</Properties>
</file>